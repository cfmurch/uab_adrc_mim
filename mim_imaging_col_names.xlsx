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B Neurology\ADRC Projects\MIM to Redcap\MIM_process\"/>
    </mc:Choice>
  </mc:AlternateContent>
  <xr:revisionPtr revIDLastSave="0" documentId="13_ncr:1_{3325C023-E18C-44FE-8262-5C1C6BB10212}" xr6:coauthVersionLast="47" xr6:coauthVersionMax="47" xr10:uidLastSave="{00000000-0000-0000-0000-000000000000}"/>
  <bookViews>
    <workbookView xWindow="-120" yWindow="-120" windowWidth="38640" windowHeight="21240" activeTab="1" xr2:uid="{044A24A8-B20A-45B2-AF36-0F9B0075E1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2" l="1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F15" i="2"/>
  <c r="E15" i="2"/>
  <c r="E2" i="2"/>
  <c r="F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F1" i="2"/>
  <c r="E1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F26" i="2"/>
  <c r="E26" i="2"/>
  <c r="E25" i="2"/>
</calcChain>
</file>

<file path=xl/sharedStrings.xml><?xml version="1.0" encoding="utf-8"?>
<sst xmlns="http://schemas.openxmlformats.org/spreadsheetml/2006/main" count="1323" uniqueCount="713">
  <si>
    <t>Hippocampal atrophy (Duara 2-4 on right and/or left)?_AV1451_RESULT</t>
  </si>
  <si>
    <t>Hippocampal atrophy (Duara 2-4 on right and/or left)?_AV1451_CONFIDENCE</t>
  </si>
  <si>
    <t>Right hippocampal atrophy (Duara 2-4)?_AV1451_RESULT</t>
  </si>
  <si>
    <t>Right hippocampal atrophy (Duara 2-4)?_AV1451_CONFIDENCE</t>
  </si>
  <si>
    <t>Right hippocampal atrophy Duara score (0-4)_AV1451_RESULT</t>
  </si>
  <si>
    <t>Right hippocampal atrophy Duara score (0-4)_AV1451_CONFIDENCE</t>
  </si>
  <si>
    <t>Left hippocampal atrophy (Duara 2-4)?_AV1451_RESULT</t>
  </si>
  <si>
    <t>Left hippocampal atrophy (Duara 2-4)?_AV1451_CONFIDENCE</t>
  </si>
  <si>
    <t>Left hippocampal atrophy Duara score (0-4)_AV1451_RESULT</t>
  </si>
  <si>
    <t>Left hippocampal atrophy Duara score (0-4)_AV1451_CONFIDENCE</t>
  </si>
  <si>
    <t>Tau-PET evidence for AD?_AV1451_RESULT</t>
  </si>
  <si>
    <t>Tau-PET evidence for AD?_AV1451_CONFIDENCE</t>
  </si>
  <si>
    <t>Tau-PET evidence of FTLD?_AV1451_RESULT</t>
  </si>
  <si>
    <t>Tau-PET evidence of FTLD?_AV1451_CONFIDENCE</t>
  </si>
  <si>
    <t>Structural MRI evidence of FTLD?_AV1451_RESULT</t>
  </si>
  <si>
    <t>Structural MRI evidence of FTLD?_AV1451_CONFIDENCE</t>
  </si>
  <si>
    <t>STUDY INFORMATION</t>
  </si>
  <si>
    <t>Large vessel infarct(s)?_AV1451_RESULT</t>
  </si>
  <si>
    <t>Large vessel infarct(s)?_AV1451_LOCATION</t>
  </si>
  <si>
    <t>Lacunar infarct(s)?_AV1451_RESULT</t>
  </si>
  <si>
    <t>Lacunar infarct(s)?_AV1451_LOCATION</t>
  </si>
  <si>
    <t>Macrohemorrhage(s)?_AV1451_RESULT</t>
  </si>
  <si>
    <t>Macrohemorrhage(s)?_AV1451_LOCATION</t>
  </si>
  <si>
    <t>Microhemorrage(s)?_AV1451_RESULT</t>
  </si>
  <si>
    <t>Microhemorrage(s)?_AV1451_LOCATION</t>
  </si>
  <si>
    <t>Moderate white matter hyperintensities?(CHS 5-6)_AV1451_RESULT</t>
  </si>
  <si>
    <t>Moderate white matter hyperintensities?(CHS 5-6)_AV1451_LOCATION</t>
  </si>
  <si>
    <t>Extensive white matter hyperintensities?(CHS 7 or 8)_AV1451_RESULT</t>
  </si>
  <si>
    <t>Extensive white matter hyperintensities?(CHS 7 or 8)_AV1451_LOCATION</t>
  </si>
  <si>
    <t>CHS score (1-8)_AV1451_RESULT</t>
  </si>
  <si>
    <t>CHS score (1-8)_AV1451_LOCATION</t>
  </si>
  <si>
    <t>Fazekas score for periventricular white matter_AV1451_RESULT</t>
  </si>
  <si>
    <t>Fazekas score for periventricular white matter_AV1451_LOCATION</t>
  </si>
  <si>
    <t>Fazekas score for deep white matter_AV1451_RESULT</t>
  </si>
  <si>
    <t>Fazekas score for deep white matter_AV1451_LOCATION</t>
  </si>
  <si>
    <t>Entire brain_AV1451_Volume (mL)</t>
  </si>
  <si>
    <t>Entire brain_AV1451_Region volume as percent of entire brain</t>
  </si>
  <si>
    <t>Entire cerebellum_AV1451_Volume (mL)</t>
  </si>
  <si>
    <t>Entire cerebellum_AV1451_Region volume as percent of entire brain</t>
  </si>
  <si>
    <t>Entire cerebral cortex_AV1451_Volume (mL)</t>
  </si>
  <si>
    <t>Entire cerebral cortex_AV1451_Region volume as percent of entire brain</t>
  </si>
  <si>
    <t xml:space="preserve"> </t>
  </si>
  <si>
    <t>Left caudate_AV1451_Volume (mL)</t>
  </si>
  <si>
    <t>Left caudate_AV1451_Region volume as percent of entire brain</t>
  </si>
  <si>
    <t>Right caudate_AV1451_Volume (mL)</t>
  </si>
  <si>
    <t>Right caudate_AV1451_Region volume as percent of entire brain</t>
  </si>
  <si>
    <t>Left frontal cortex_AV1451_Volume (mL)</t>
  </si>
  <si>
    <t>Left frontal cortex_AV1451_Region volume as percent of entire brain</t>
  </si>
  <si>
    <t>Right frontal cortex_AV1451_Volume (mL)</t>
  </si>
  <si>
    <t>Right frontal cortex_AV1451_Region volume as percent of entire brain</t>
  </si>
  <si>
    <t>Left hippocampus_AV1451_Volume (mL)</t>
  </si>
  <si>
    <t>Left hippocampus_AV1451_Region volume as percent of entire brain</t>
  </si>
  <si>
    <t>Right hippocampus_AV1451_Volume (mL)</t>
  </si>
  <si>
    <t>Right hippocampus_AV1451_Region volume as percent of entire brain</t>
  </si>
  <si>
    <t>Left lateral ventricle_AV1451_Volume (mL)</t>
  </si>
  <si>
    <t>Left lateral ventricle_AV1451_Region volume as percent of entire brain</t>
  </si>
  <si>
    <t>Right lateral ventricle_AV1451_Volume (mL)</t>
  </si>
  <si>
    <t>Right lateral ventricle_AV1451_Region volume as percent of entire brain</t>
  </si>
  <si>
    <t>Left occipital cortex_AV1451_Volume (mL)</t>
  </si>
  <si>
    <t>Left occipital cortex_AV1451_Region volume as percent of entire brain</t>
  </si>
  <si>
    <t>Right occipital cortex_AV1451_Volume (mL)</t>
  </si>
  <si>
    <t>Right occipital cortex_AV1451_Region volume as percent of entire brain</t>
  </si>
  <si>
    <t>Left parietal cortex_AV1451_Volume (mL)</t>
  </si>
  <si>
    <t>Left parietal cortex_AV1451_Region volume as percent of entire brain</t>
  </si>
  <si>
    <t>Right parietal cortex_AV1451_Volume (mL)</t>
  </si>
  <si>
    <t>Right parietal cortex_AV1451_Region volume as percent of entire brain</t>
  </si>
  <si>
    <t>Left putamen_AV1451_Volume (mL)</t>
  </si>
  <si>
    <t>Left putamen_AV1451_Region volume as percent of entire brain</t>
  </si>
  <si>
    <t>Right putamen_AV1451_Volume (mL)</t>
  </si>
  <si>
    <t>Right putamen_AV1451_Region volume as percent of entire brain</t>
  </si>
  <si>
    <t>Left temporal cortex_AV1451_Volume (mL)</t>
  </si>
  <si>
    <t>Left temporal cortex_AV1451_Region volume as percent of entire brain</t>
  </si>
  <si>
    <t>Right temporal cortex_AV1451_Volume (mL)</t>
  </si>
  <si>
    <t>Right temporal cortex_AV1451_Region volume as percent of entire brain</t>
  </si>
  <si>
    <t>neuro_id</t>
  </si>
  <si>
    <t>MIM_date</t>
  </si>
  <si>
    <t>Analyzed_by</t>
  </si>
  <si>
    <t>Abnormally elevated amyloid on PET?_PIB_RESULT</t>
  </si>
  <si>
    <t>Abnormally elevated amyloid on PET?_PIB_CONFIDENCE</t>
  </si>
  <si>
    <t>Hippocampal atrophy (Duara 2-4 on right and/or left)?_PIB_RESULT</t>
  </si>
  <si>
    <t>Hippocampal atrophy (Duara 2-4 on right and/or left)?_PIB_CONFIDENCE</t>
  </si>
  <si>
    <t>Right hippocampal atrophy (Duara 2-4)?_PIB_RESULT</t>
  </si>
  <si>
    <t>Right hippocampal atrophy (Duara 2-4)?_PIB_CONFIDENCE</t>
  </si>
  <si>
    <t>Right hippocampal atrophy Duara score (0-4)_PIB_RESULT</t>
  </si>
  <si>
    <t>Right hippocampal atrophy Duara score (0-4)_PIB_CONFIDENCE</t>
  </si>
  <si>
    <t>Left hippocampal atrophy (Duara 2-4)?_PIB_RESULT</t>
  </si>
  <si>
    <t>Left hippocampal atrophy (Duara 2-4)?_PIB_CONFIDENCE</t>
  </si>
  <si>
    <t>Left hippocampal atrophy Duara score (0-4)_PIB_RESULT</t>
  </si>
  <si>
    <t>Left hippocampal atrophy Duara score (0-4)_PIB_CONFIDENCE</t>
  </si>
  <si>
    <t>Structural MRI evidence of FTLD?_PIB_RESULT</t>
  </si>
  <si>
    <t>Structural MRI evidence of FTLD?_PIB_CONFIDENCE</t>
  </si>
  <si>
    <t>Large vessel infarct(s)?_PIB_RESULT</t>
  </si>
  <si>
    <t>Large vessel infarct(s)?_PIB_LOCATION</t>
  </si>
  <si>
    <t>Lacunar infarct(s)?_PIB_RESULT</t>
  </si>
  <si>
    <t>Lacunar infarct(s)?_PIB_LOCATION</t>
  </si>
  <si>
    <t>Macrohemorrhage(s)?_PIB_RESULT</t>
  </si>
  <si>
    <t>Macrohemorrhage(s)?_PIB_LOCATION</t>
  </si>
  <si>
    <t>Microhemorrage(s)?_PIB_RESULT</t>
  </si>
  <si>
    <t>Microhemorrage(s)?_PIB_LOCATION</t>
  </si>
  <si>
    <t>Moderate white matter hyperintensities?(CHS 5-6)_PIB_RESULT</t>
  </si>
  <si>
    <t>Moderate white matter hyperintensities?(CHS 5-6)_PIB_LOCATION</t>
  </si>
  <si>
    <t>Extensive white matter hyperintensities?(CHS 7 or 8)_PIB_RESULT</t>
  </si>
  <si>
    <t>Extensive white matter hyperintensities?(CHS 7 or 8)_PIB_LOCATION</t>
  </si>
  <si>
    <t>CHS score (1-8)_PIB_RESULT</t>
  </si>
  <si>
    <t>CHS score (1-8)_PIB_LOCATION</t>
  </si>
  <si>
    <t>Fazekas score for periventricular white matter_PIB_RESULT</t>
  </si>
  <si>
    <t>Fazekas score for periventricular white matter_PIB_LOCATION</t>
  </si>
  <si>
    <t>Fazekas score for deep white matter_PIB_RESULT</t>
  </si>
  <si>
    <t>Fazekas score for deep white matter_PIB_LOCATION</t>
  </si>
  <si>
    <t>Entire brain_PIB_Volume (mL)</t>
  </si>
  <si>
    <t>Entire brain_PIB_Region volume as percent of entire brain</t>
  </si>
  <si>
    <t>Entire cerebellum_PIB_Volume (mL)</t>
  </si>
  <si>
    <t>Entire cerebellum_PIB_Region volume as percent of entire brain</t>
  </si>
  <si>
    <t>Entire cerebral cortex_PIB_Volume (mL)</t>
  </si>
  <si>
    <t>Entire cerebral cortex_PIB_Region volume as percent of entire brain</t>
  </si>
  <si>
    <t>Left caudate_PIB_Volume (mL)</t>
  </si>
  <si>
    <t>Left caudate_PIB_Region volume as percent of entire brain</t>
  </si>
  <si>
    <t>Right caudate_PIB_Volume (mL)</t>
  </si>
  <si>
    <t>Right caudate_PIB_Region volume as percent of entire brain</t>
  </si>
  <si>
    <t>Left frontal cortex_PIB_Volume (mL)</t>
  </si>
  <si>
    <t>Left frontal cortex_PIB_Region volume as percent of entire brain</t>
  </si>
  <si>
    <t>Right frontal cortex_PIB_Volume (mL)</t>
  </si>
  <si>
    <t>Right frontal cortex_PIB_Region volume as percent of entire brain</t>
  </si>
  <si>
    <t>Left hippocampus_PIB_Volume (mL)</t>
  </si>
  <si>
    <t>Left hippocampus_PIB_Region volume as percent of entire brain</t>
  </si>
  <si>
    <t>Right hippocampus_PIB_Volume (mL)</t>
  </si>
  <si>
    <t>Right hippocampus_PIB_Region volume as percent of entire brain</t>
  </si>
  <si>
    <t>Left lateral ventricle_PIB_Volume (mL)</t>
  </si>
  <si>
    <t>Left lateral ventricle_PIB_Region volume as percent of entire brain</t>
  </si>
  <si>
    <t>Right lateral ventricle_PIB_Volume (mL)</t>
  </si>
  <si>
    <t>Right lateral ventricle_PIB_Region volume as percent of entire brain</t>
  </si>
  <si>
    <t>Left occipital cortex_PIB_Volume (mL)</t>
  </si>
  <si>
    <t>Left occipital cortex_PIB_Region volume as percent of entire brain</t>
  </si>
  <si>
    <t>Right occipital cortex_PIB_Volume (mL)</t>
  </si>
  <si>
    <t>Right occipital cortex_PIB_Region volume as percent of entire brain</t>
  </si>
  <si>
    <t>Left parietal cortex_PIB_Volume (mL)</t>
  </si>
  <si>
    <t>Left parietal cortex_PIB_Region volume as percent of entire brain</t>
  </si>
  <si>
    <t>Right parietal cortex_PIB_Volume (mL)</t>
  </si>
  <si>
    <t>Right parietal cortex_PIB_Region volume as percent of entire brain</t>
  </si>
  <si>
    <t>Left putamen_PIB_Volume (mL)</t>
  </si>
  <si>
    <t>Left putamen_PIB_Region volume as percent of entire brain</t>
  </si>
  <si>
    <t>Right putamen_PIB_Volume (mL)</t>
  </si>
  <si>
    <t>Right putamen_PIB_Region volume as percent of entire brain</t>
  </si>
  <si>
    <t>Left temporal cortex_PIB_Volume (mL)</t>
  </si>
  <si>
    <t>Left temporal cortex_PIB_Region volume as percent of entire brain</t>
  </si>
  <si>
    <t>Right temporal cortex_PIB_Volume (mL)</t>
  </si>
  <si>
    <t>Right temporal cortex_PIB_Region volume as percent of entire brain</t>
  </si>
  <si>
    <t>adc_sub_id</t>
  </si>
  <si>
    <t>PET</t>
  </si>
  <si>
    <t>Tau_date</t>
  </si>
  <si>
    <t>Amyloid_date</t>
  </si>
  <si>
    <t>Image_visit</t>
  </si>
  <si>
    <t>uds_version</t>
  </si>
  <si>
    <t>tau_score</t>
  </si>
  <si>
    <t>amyl_suvr</t>
  </si>
  <si>
    <t>Abnormally elevated amyloid on PET?</t>
  </si>
  <si>
    <t>FDG-PET pattern of AD?</t>
  </si>
  <si>
    <t>Hippocampal atrophy (Duara 2-4 on right and/or left)?</t>
  </si>
  <si>
    <t>Right hippocampal atrophy (Duara 2-4)?</t>
  </si>
  <si>
    <t>Right hippocampal atrophy Duara score (0-4)</t>
  </si>
  <si>
    <t>Left hippocampal atrophy (Duara 2-4)?</t>
  </si>
  <si>
    <t>Left hippocampal atrophy Duara score (0-4)</t>
  </si>
  <si>
    <t>Tau-PET evidence for AD?</t>
  </si>
  <si>
    <t>FDG-PET evidence of FTLD?</t>
  </si>
  <si>
    <t>Tau-PET evidence of FTLD?</t>
  </si>
  <si>
    <t>Structural MRI evidence of FTLD?</t>
  </si>
  <si>
    <t>FDG-PET results?</t>
  </si>
  <si>
    <t>elev_amyl</t>
  </si>
  <si>
    <t>fdg_pet_ad</t>
  </si>
  <si>
    <t>hippoc_atrophy</t>
  </si>
  <si>
    <t>right_hippoc_atrophy</t>
  </si>
  <si>
    <t>right_hippoc_duara</t>
  </si>
  <si>
    <t>left_hippoc_atrophy</t>
  </si>
  <si>
    <t>left_hippoc_duara</t>
  </si>
  <si>
    <t>tau_pet_ad</t>
  </si>
  <si>
    <t>fdg_pet_fltd</t>
  </si>
  <si>
    <t>tau_pet_ftld</t>
  </si>
  <si>
    <t>mri_ftld</t>
  </si>
  <si>
    <t>fdg_pet</t>
  </si>
  <si>
    <t>Large vessel infarct(s)?</t>
  </si>
  <si>
    <t>Lacunar infarct(s)?</t>
  </si>
  <si>
    <t>Macrohemorrhage(s)?</t>
  </si>
  <si>
    <t>Microhemorrage(s)?</t>
  </si>
  <si>
    <t>Moderate white matter hyperintensities?(CHS 5-6)</t>
  </si>
  <si>
    <t>Extensive white matter hyperintensities?(CHS 7 or 8)</t>
  </si>
  <si>
    <t>CHS score (1-8)</t>
  </si>
  <si>
    <t>Fazekas score for periventricular white matter</t>
  </si>
  <si>
    <t>Fazekas score for deep white matter</t>
  </si>
  <si>
    <t>vessel_infarct</t>
  </si>
  <si>
    <t>lacuna_infarct</t>
  </si>
  <si>
    <t>macro_hemor</t>
  </si>
  <si>
    <t>micro_hemor</t>
  </si>
  <si>
    <t>moderate_wmh</t>
  </si>
  <si>
    <t>extensive_wmh</t>
  </si>
  <si>
    <t>chs_score</t>
  </si>
  <si>
    <t>fazekas_peri</t>
  </si>
  <si>
    <t>fazekas_deep</t>
  </si>
  <si>
    <t>Entire brain</t>
  </si>
  <si>
    <t>Entire cerebellum</t>
  </si>
  <si>
    <t>Entire cerebral cortex</t>
  </si>
  <si>
    <t>Left caudate</t>
  </si>
  <si>
    <t>Right caudate</t>
  </si>
  <si>
    <t>Left frontal cortex</t>
  </si>
  <si>
    <t>Right frontal cortex</t>
  </si>
  <si>
    <t>Left hippocampus</t>
  </si>
  <si>
    <t>Right hippocampus</t>
  </si>
  <si>
    <t>Left lateral ventricle</t>
  </si>
  <si>
    <t>Right lateral ventricle</t>
  </si>
  <si>
    <t>Left occipital cortex</t>
  </si>
  <si>
    <t>Right occipital cortex</t>
  </si>
  <si>
    <t>Left parietal cortex</t>
  </si>
  <si>
    <t>Right parietal cortex</t>
  </si>
  <si>
    <t>Left putamen</t>
  </si>
  <si>
    <t>Right putamen</t>
  </si>
  <si>
    <t>Left temporal cortex</t>
  </si>
  <si>
    <t>Right temporal cortex</t>
  </si>
  <si>
    <t>caudate_l</t>
  </si>
  <si>
    <t>caudate_r</t>
  </si>
  <si>
    <t>front_cortex_l</t>
  </si>
  <si>
    <t>front_cortex_r</t>
  </si>
  <si>
    <t>hippoc_l</t>
  </si>
  <si>
    <t>hippoc_r</t>
  </si>
  <si>
    <t>ventricle_l</t>
  </si>
  <si>
    <t>ventricle_r</t>
  </si>
  <si>
    <t>occipital_r</t>
  </si>
  <si>
    <t>occipital_l</t>
  </si>
  <si>
    <t>brain</t>
  </si>
  <si>
    <t>cerebellum</t>
  </si>
  <si>
    <t>cerebral_cortex</t>
  </si>
  <si>
    <t>parietal_l</t>
  </si>
  <si>
    <t>parietal_r</t>
  </si>
  <si>
    <t>putamen_r</t>
  </si>
  <si>
    <t>putamen_l</t>
  </si>
  <si>
    <t>temporal_l</t>
  </si>
  <si>
    <t>temporal_r</t>
  </si>
  <si>
    <t>mim_elev_amyl_res</t>
  </si>
  <si>
    <t>mim_elev_amyl_conf</t>
  </si>
  <si>
    <t>mim_fdg_pet_ad_res</t>
  </si>
  <si>
    <t>mim_fdg_pet_ad_conf</t>
  </si>
  <si>
    <t>mim_hippoc_atrophy_res</t>
  </si>
  <si>
    <t>mim_hippoc_atrophy_conf</t>
  </si>
  <si>
    <t>mim_right_hippoc_atrophy_res</t>
  </si>
  <si>
    <t>mim_right_hippoc_atrophy_conf</t>
  </si>
  <si>
    <t>mim_right_hippoc_duara_res</t>
  </si>
  <si>
    <t>mim_right_hippoc_duara_conf</t>
  </si>
  <si>
    <t>mim_left_hippoc_atrophy_res</t>
  </si>
  <si>
    <t>mim_left_hippoc_atrophy_conf</t>
  </si>
  <si>
    <t>mim_left_hippoc_duara_res</t>
  </si>
  <si>
    <t>mim_left_hippoc_duara_conf</t>
  </si>
  <si>
    <t>mim_tau_pet_ad_res</t>
  </si>
  <si>
    <t>mim_tau_pet_ad_conf</t>
  </si>
  <si>
    <t>mim_fdg_pet_fltd_res</t>
  </si>
  <si>
    <t>mim_fdg_pet_fltd_conf</t>
  </si>
  <si>
    <t>mim_tau_pet_ftld_res</t>
  </si>
  <si>
    <t>mim_tau_pet_ftld_conf</t>
  </si>
  <si>
    <t>mim_mri_ftld_res</t>
  </si>
  <si>
    <t>mim_mri_ftld_conf</t>
  </si>
  <si>
    <t>mim_fdg_pet_res</t>
  </si>
  <si>
    <t>mim_fdg_pet_conf</t>
  </si>
  <si>
    <t>mim_vessel_infarct_res</t>
  </si>
  <si>
    <t>mim_vessel_infarct_locat</t>
  </si>
  <si>
    <t>mim_lacuna_infarct_res</t>
  </si>
  <si>
    <t>mim_lacuna_infarct_locat</t>
  </si>
  <si>
    <t>mim_macro_hemor_res</t>
  </si>
  <si>
    <t>mim_macro_hemor_locat</t>
  </si>
  <si>
    <t>mim_micro_hemor_res</t>
  </si>
  <si>
    <t>mim_micro_hemor_locat</t>
  </si>
  <si>
    <t>mim_moderate_wmh_res</t>
  </si>
  <si>
    <t>mim_moderate_wmh_locat</t>
  </si>
  <si>
    <t>mim_extensive_wmh_res</t>
  </si>
  <si>
    <t>mim_extensive_wmh_locat</t>
  </si>
  <si>
    <t>mim_chs_score_res</t>
  </si>
  <si>
    <t>mim_chs_score_locat</t>
  </si>
  <si>
    <t>mim_fazekas_peri_res</t>
  </si>
  <si>
    <t>mim_fazekas_peri_locat</t>
  </si>
  <si>
    <t>mim_fazekas_deep_res</t>
  </si>
  <si>
    <t>mim_fazekas_deep_locat</t>
  </si>
  <si>
    <t>mim_brain_vol</t>
  </si>
  <si>
    <t>mim_cerebellum_vol</t>
  </si>
  <si>
    <t>mim_cerebellum_perc</t>
  </si>
  <si>
    <t>mim_cerebral_cortex_vol</t>
  </si>
  <si>
    <t>mim_cerebral_cortex_perc</t>
  </si>
  <si>
    <t>mim_caudate_l_vol</t>
  </si>
  <si>
    <t>mim_caudate_l_perc</t>
  </si>
  <si>
    <t>mim_caudate_r_vol</t>
  </si>
  <si>
    <t>mim_caudate_r_perc</t>
  </si>
  <si>
    <t>mim_front_cortex_l_vol</t>
  </si>
  <si>
    <t>mim_front_cortex_l_perc</t>
  </si>
  <si>
    <t>mim_front_cortex_r_vol</t>
  </si>
  <si>
    <t>mim_front_cortex_r_perc</t>
  </si>
  <si>
    <t>mim_hippoc_l_vol</t>
  </si>
  <si>
    <t>mim_hippoc_l_perc</t>
  </si>
  <si>
    <t>mim_hippoc_r_vol</t>
  </si>
  <si>
    <t>mim_hippoc_r_perc</t>
  </si>
  <si>
    <t>mim_ventricle_l_vol</t>
  </si>
  <si>
    <t>mim_ventricle_l_perc</t>
  </si>
  <si>
    <t>mim_ventricle_r_vol</t>
  </si>
  <si>
    <t>mim_ventricle_r_perc</t>
  </si>
  <si>
    <t>mim_occipital_l_vol</t>
  </si>
  <si>
    <t>mim_occipital_l_perc</t>
  </si>
  <si>
    <t>mim_occipital_r_vol</t>
  </si>
  <si>
    <t>mim_occipital_r_perc</t>
  </si>
  <si>
    <t>mim_parietal_l_vol</t>
  </si>
  <si>
    <t>mim_parietal_l_perc</t>
  </si>
  <si>
    <t>mim_parietal_r_vol</t>
  </si>
  <si>
    <t>mim_parietal_r_perc</t>
  </si>
  <si>
    <t>mim_putamen_l_vol</t>
  </si>
  <si>
    <t>mim_putamen_l_perc</t>
  </si>
  <si>
    <t>mim_putamen_r_vol</t>
  </si>
  <si>
    <t>mim_putamen_r_perc</t>
  </si>
  <si>
    <t>mim_temporal_l_vol</t>
  </si>
  <si>
    <t>mim_temporal_l_perc</t>
  </si>
  <si>
    <t>mim_temporal_r_vol</t>
  </si>
  <si>
    <t>mim_temporal_r_perc</t>
  </si>
  <si>
    <t>mim_elev_amyl_res_amyl</t>
  </si>
  <si>
    <t>mim_elev_amyl_conf_amyl</t>
  </si>
  <si>
    <t>mim_elev_amyl_res_tau</t>
  </si>
  <si>
    <t>mim_elev_amyl_conf_tau</t>
  </si>
  <si>
    <t>mim_fdg_pet_ad_res_amyl</t>
  </si>
  <si>
    <t>mim_fdg_pet_ad_conf_amyl</t>
  </si>
  <si>
    <t>mim_fdg_pet_ad_res_tau</t>
  </si>
  <si>
    <t>mim_fdg_pet_ad_conf_tau</t>
  </si>
  <si>
    <t>mim_hippoc_atrophy_res_amyl</t>
  </si>
  <si>
    <t>mim_hippoc_atrophy_conf_amyl</t>
  </si>
  <si>
    <t>mim_hippoc_atrophy_res_tau</t>
  </si>
  <si>
    <t>mim_hippoc_atrophy_conf_tau</t>
  </si>
  <si>
    <t>mim_right_hippoc_atrophy_res_amyl</t>
  </si>
  <si>
    <t>mim_right_hippoc_atrophy_conf_amyl</t>
  </si>
  <si>
    <t>mim_right_hippoc_atrophy_res_tau</t>
  </si>
  <si>
    <t>mim_right_hippoc_atrophy_conf_tau</t>
  </si>
  <si>
    <t>mim_right_hippoc_duara_res_amyl</t>
  </si>
  <si>
    <t>mim_right_hippoc_duara_conf_amyl</t>
  </si>
  <si>
    <t>mim_right_hippoc_duara_res_tau</t>
  </si>
  <si>
    <t>mim_right_hippoc_duara_conf_tau</t>
  </si>
  <si>
    <t>mim_left_hippoc_atrophy_res_amyl</t>
  </si>
  <si>
    <t>mim_left_hippoc_atrophy_conf_amyl</t>
  </si>
  <si>
    <t>mim_left_hippoc_atrophy_res_tau</t>
  </si>
  <si>
    <t>mim_left_hippoc_atrophy_conf_tau</t>
  </si>
  <si>
    <t>mim_left_hippoc_duara_res_amyl</t>
  </si>
  <si>
    <t>mim_left_hippoc_duara_conf_amyl</t>
  </si>
  <si>
    <t>mim_left_hippoc_duara_res_tau</t>
  </si>
  <si>
    <t>mim_left_hippoc_duara_conf_tau</t>
  </si>
  <si>
    <t>mim_tau_pet_ad_res_amyl</t>
  </si>
  <si>
    <t>mim_tau_pet_ad_conf_amyl</t>
  </si>
  <si>
    <t>mim_tau_pet_ad_res_tau</t>
  </si>
  <si>
    <t>mim_tau_pet_ad_conf_tau</t>
  </si>
  <si>
    <t>mim_fdg_pet_fltd_res_amyl</t>
  </si>
  <si>
    <t>mim_fdg_pet_fltd_conf_amyl</t>
  </si>
  <si>
    <t>mim_fdg_pet_fltd_res_tau</t>
  </si>
  <si>
    <t>mim_fdg_pet_fltd_conf_tau</t>
  </si>
  <si>
    <t>mim_tau_pet_ftld_res_amyl</t>
  </si>
  <si>
    <t>mim_tau_pet_ftld_conf_amyl</t>
  </si>
  <si>
    <t>mim_tau_pet_ftld_res_tau</t>
  </si>
  <si>
    <t>mim_tau_pet_ftld_conf_tau</t>
  </si>
  <si>
    <t>mim_mri_ftld_res_amyl</t>
  </si>
  <si>
    <t>mim_mri_ftld_conf_amyl</t>
  </si>
  <si>
    <t>mim_mri_ftld_res_tau</t>
  </si>
  <si>
    <t>mim_mri_ftld_conf_tau</t>
  </si>
  <si>
    <t>mim_fdg_pet_res_amyl</t>
  </si>
  <si>
    <t>mim_fdg_pet_conf_amyl</t>
  </si>
  <si>
    <t>mim_fdg_pet_res_tau</t>
  </si>
  <si>
    <t>mim_fdg_pet_conf_tau</t>
  </si>
  <si>
    <t>mim_vessel_infarct_res_amyl</t>
  </si>
  <si>
    <t>mim_vessel_infarct_locat_amyl</t>
  </si>
  <si>
    <t>mim_vessel_infarct_res_tau</t>
  </si>
  <si>
    <t>mim_vessel_infarct_locat_tau</t>
  </si>
  <si>
    <t>mim_lacuna_infarct_res_amyl</t>
  </si>
  <si>
    <t>mim_lacuna_infarct_locat_amyl</t>
  </si>
  <si>
    <t>mim_lacuna_infarct_res_tau</t>
  </si>
  <si>
    <t>mim_lacuna_infarct_locat_tau</t>
  </si>
  <si>
    <t>mim_macro_hemor_res_amyl</t>
  </si>
  <si>
    <t>mim_macro_hemor_locat_amyl</t>
  </si>
  <si>
    <t>mim_macro_hemor_res_tau</t>
  </si>
  <si>
    <t>mim_macro_hemor_locat_tau</t>
  </si>
  <si>
    <t>mim_micro_hemor_res_amyl</t>
  </si>
  <si>
    <t>mim_micro_hemor_locat_amyl</t>
  </si>
  <si>
    <t>mim_micro_hemor_res_tau</t>
  </si>
  <si>
    <t>mim_micro_hemor_locat_tau</t>
  </si>
  <si>
    <t>mim_moderate_wmh_res_amyl</t>
  </si>
  <si>
    <t>mim_moderate_wmh_locat_amyl</t>
  </si>
  <si>
    <t>mim_moderate_wmh_res_tau</t>
  </si>
  <si>
    <t>mim_moderate_wmh_locat_tau</t>
  </si>
  <si>
    <t>mim_extensive_wmh_res_amyl</t>
  </si>
  <si>
    <t>mim_extensive_wmh_locat_amyl</t>
  </si>
  <si>
    <t>mim_extensive_wmh_res_tau</t>
  </si>
  <si>
    <t>mim_extensive_wmh_locat_tau</t>
  </si>
  <si>
    <t>mim_chs_score_res_amyl</t>
  </si>
  <si>
    <t>mim_chs_score_locat_amyl</t>
  </si>
  <si>
    <t>mim_chs_score_res_tau</t>
  </si>
  <si>
    <t>mim_chs_score_locat_tau</t>
  </si>
  <si>
    <t>mim_fazekas_peri_res_amyl</t>
  </si>
  <si>
    <t>mim_fazekas_peri_locat_amyl</t>
  </si>
  <si>
    <t>mim_fazekas_peri_res_tau</t>
  </si>
  <si>
    <t>mim_fazekas_peri_locat_tau</t>
  </si>
  <si>
    <t>mim_fazekas_deep_res_amyl</t>
  </si>
  <si>
    <t>mim_fazekas_deep_locat_amyl</t>
  </si>
  <si>
    <t>mim_fazekas_deep_res_tau</t>
  </si>
  <si>
    <t>mim_fazekas_deep_locat_tau</t>
  </si>
  <si>
    <t>mim_brain_vol_amyl</t>
  </si>
  <si>
    <t>mim_brain_vol_tau</t>
  </si>
  <si>
    <t>mim_cerebellum_vol_amyl</t>
  </si>
  <si>
    <t>mim_cerebellum_perc_amyl</t>
  </si>
  <si>
    <t>mim_cerebellum_vol_tau</t>
  </si>
  <si>
    <t>mim_cerebellum_perc_tau</t>
  </si>
  <si>
    <t>mim_cerebral_cortex_vol_amyl</t>
  </si>
  <si>
    <t>mim_cerebral_cortex_perc_amyl</t>
  </si>
  <si>
    <t>mim_cerebral_cortex_vol_tau</t>
  </si>
  <si>
    <t>mim_cerebral_cortex_perc_tau</t>
  </si>
  <si>
    <t>mim_caudate_l_vol_amyl</t>
  </si>
  <si>
    <t>mim_caudate_l_perc_amyl</t>
  </si>
  <si>
    <t>mim_caudate_l_vol_tau</t>
  </si>
  <si>
    <t>mim_caudate_l_perc_tau</t>
  </si>
  <si>
    <t>mim_caudate_r_vol_amyl</t>
  </si>
  <si>
    <t>mim_caudate_r_perc_amyl</t>
  </si>
  <si>
    <t>mim_caudate_r_vol_tau</t>
  </si>
  <si>
    <t>mim_caudate_r_perc_tau</t>
  </si>
  <si>
    <t>mim_front_cortex_l_vol_amyl</t>
  </si>
  <si>
    <t>mim_front_cortex_l_perc_amyl</t>
  </si>
  <si>
    <t>mim_front_cortex_l_vol_tau</t>
  </si>
  <si>
    <t>mim_front_cortex_l_perc_tau</t>
  </si>
  <si>
    <t>mim_front_cortex_r_vol_amyl</t>
  </si>
  <si>
    <t>mim_front_cortex_r_perc_amyl</t>
  </si>
  <si>
    <t>mim_front_cortex_r_vol_tau</t>
  </si>
  <si>
    <t>mim_front_cortex_r_perc_tau</t>
  </si>
  <si>
    <t>mim_hippoc_l_vol_amyl</t>
  </si>
  <si>
    <t>mim_hippoc_l_perc_amyl</t>
  </si>
  <si>
    <t>mim_hippoc_l_vol_tau</t>
  </si>
  <si>
    <t>mim_hippoc_l_perc_tau</t>
  </si>
  <si>
    <t>mim_hippoc_r_vol_amyl</t>
  </si>
  <si>
    <t>mim_hippoc_r_perc_amyl</t>
  </si>
  <si>
    <t>mim_hippoc_r_vol_tau</t>
  </si>
  <si>
    <t>mim_hippoc_r_perc_tau</t>
  </si>
  <si>
    <t>mim_ventricle_l_vol_amyl</t>
  </si>
  <si>
    <t>mim_ventricle_l_perc_amyl</t>
  </si>
  <si>
    <t>mim_ventricle_l_vol_tau</t>
  </si>
  <si>
    <t>mim_ventricle_l_perc_tau</t>
  </si>
  <si>
    <t>mim_ventricle_r_vol_amyl</t>
  </si>
  <si>
    <t>mim_ventricle_r_perc_amyl</t>
  </si>
  <si>
    <t>mim_ventricle_r_vol_tau</t>
  </si>
  <si>
    <t>mim_ventricle_r_perc_tau</t>
  </si>
  <si>
    <t>mim_occipital_l_vol_amyl</t>
  </si>
  <si>
    <t>mim_occipital_l_perc_amyl</t>
  </si>
  <si>
    <t>mim_occipital_l_vol_tau</t>
  </si>
  <si>
    <t>mim_occipital_l_perc_tau</t>
  </si>
  <si>
    <t>mim_occipital_r_vol_amyl</t>
  </si>
  <si>
    <t>mim_occipital_r_perc_amyl</t>
  </si>
  <si>
    <t>mim_occipital_r_vol_tau</t>
  </si>
  <si>
    <t>mim_occipital_r_perc_tau</t>
  </si>
  <si>
    <t>mim_parietal_l_vol_amyl</t>
  </si>
  <si>
    <t>mim_parietal_l_perc_amyl</t>
  </si>
  <si>
    <t>mim_parietal_l_vol_tau</t>
  </si>
  <si>
    <t>mim_parietal_l_perc_tau</t>
  </si>
  <si>
    <t>mim_parietal_r_vol_amyl</t>
  </si>
  <si>
    <t>mim_parietal_r_perc_amyl</t>
  </si>
  <si>
    <t>mim_parietal_r_vol_tau</t>
  </si>
  <si>
    <t>mim_parietal_r_perc_tau</t>
  </si>
  <si>
    <t>mim_putamen_l_vol_amyl</t>
  </si>
  <si>
    <t>mim_putamen_l_perc_amyl</t>
  </si>
  <si>
    <t>mim_putamen_l_vol_tau</t>
  </si>
  <si>
    <t>mim_putamen_l_perc_tau</t>
  </si>
  <si>
    <t>mim_putamen_r_vol_amyl</t>
  </si>
  <si>
    <t>mim_putamen_r_perc_amyl</t>
  </si>
  <si>
    <t>mim_putamen_r_vol_tau</t>
  </si>
  <si>
    <t>mim_putamen_r_perc_tau</t>
  </si>
  <si>
    <t>mim_temporal_l_vol_amyl</t>
  </si>
  <si>
    <t>mim_temporal_l_perc_amyl</t>
  </si>
  <si>
    <t>mim_temporal_l_vol_tau</t>
  </si>
  <si>
    <t>mim_temporal_l_perc_tau</t>
  </si>
  <si>
    <t>mim_temporal_r_vol_amyl</t>
  </si>
  <si>
    <t>mim_temporal_r_perc_amyl</t>
  </si>
  <si>
    <t>mim_temporal_r_vol_tau</t>
  </si>
  <si>
    <t>mim_temporal_r_perc_tau</t>
  </si>
  <si>
    <t xml:space="preserve">"Abnormally elevated amyloid on PET?_PIB_RESULT", </t>
  </si>
  <si>
    <t xml:space="preserve">"Abnormally elevated amyloid on PET?_PIB_CONFIDENCE", </t>
  </si>
  <si>
    <t xml:space="preserve">"Hippocampal atrophy (Duara 2-4 on right and/or left)?_PIB_RESULT", </t>
  </si>
  <si>
    <t xml:space="preserve">"Right hippocampal atrophy (Duara 2-4)?_PIB_RESULT", </t>
  </si>
  <si>
    <t xml:space="preserve">"Right hippocampal atrophy Duara score (0-4)_PIB_RESULT", </t>
  </si>
  <si>
    <t xml:space="preserve">"Left hippocampal atrophy (Duara 2-4)?_PIB_RESULT", </t>
  </si>
  <si>
    <t xml:space="preserve">"Left hippocampal atrophy Duara score (0-4)_PIB_RESULT", </t>
  </si>
  <si>
    <t xml:space="preserve">"Structural MRI evidence of FTLD?_PIB_RESULT", </t>
  </si>
  <si>
    <t xml:space="preserve">"Structural MRI evidence of FTLD?_PIB_CONFIDENCE", </t>
  </si>
  <si>
    <t xml:space="preserve">"Hippocampal atrophy (Duara 2-4 on right and/or left)?_AV1451_RESULT", </t>
  </si>
  <si>
    <t xml:space="preserve">"Right hippocampal atrophy (Duara 2-4)?_AV1451_RESULT", </t>
  </si>
  <si>
    <t xml:space="preserve">"Right hippocampal atrophy Duara score (0-4)_AV1451_RESULT", </t>
  </si>
  <si>
    <t xml:space="preserve">"Left hippocampal atrophy (Duara 2-4)?_AV1451_RESULT", </t>
  </si>
  <si>
    <t xml:space="preserve">"Left hippocampal atrophy Duara score (0-4)_AV1451_RESULT", </t>
  </si>
  <si>
    <t xml:space="preserve">"Tau-PET evidence for AD?_AV1451_RESULT", </t>
  </si>
  <si>
    <t xml:space="preserve">"Tau-PET evidence for AD?_AV1451_CONFIDENCE", </t>
  </si>
  <si>
    <t xml:space="preserve">"Tau-PET evidence of FTLD?_AV1451_RESULT", </t>
  </si>
  <si>
    <t xml:space="preserve">"Tau-PET evidence of FTLD?_AV1451_CONFIDENCE", </t>
  </si>
  <si>
    <t xml:space="preserve">"Structural MRI evidence of FTLD?_AV1451_RESULT", </t>
  </si>
  <si>
    <t xml:space="preserve">"Structural MRI evidence of FTLD?_AV1451_CONFIDENCE", </t>
  </si>
  <si>
    <t xml:space="preserve">"Large vessel infarct(s)?_PIB_RESULT", </t>
  </si>
  <si>
    <t xml:space="preserve">"Large vessel infarct(s)?_PIB_LOCATION", </t>
  </si>
  <si>
    <t xml:space="preserve">"Lacunar infarct(s)?_PIB_RESULT", </t>
  </si>
  <si>
    <t xml:space="preserve">"Lacunar infarct(s)?_PIB_LOCATION", </t>
  </si>
  <si>
    <t xml:space="preserve">"Macrohemorrhage(s)?_PIB_RESULT", </t>
  </si>
  <si>
    <t xml:space="preserve">"Macrohemorrhage(s)?_PIB_LOCATION", </t>
  </si>
  <si>
    <t xml:space="preserve">"Microhemorrage(s)?_PIB_RESULT", </t>
  </si>
  <si>
    <t xml:space="preserve">"Microhemorrage(s)?_PIB_LOCATION", </t>
  </si>
  <si>
    <t xml:space="preserve">"Moderate white matter hyperintensities?(CHS 5-6)_PIB_RESULT", </t>
  </si>
  <si>
    <t xml:space="preserve">"Extensive white matter hyperintensities?(CHS 7 or 8)_PIB_RESULT", </t>
  </si>
  <si>
    <t xml:space="preserve">"CHS score (1-8)_PIB_RESULT", </t>
  </si>
  <si>
    <t xml:space="preserve">"Fazekas score for periventricular white matter_PIB_RESULT", </t>
  </si>
  <si>
    <t xml:space="preserve">"Fazekas score for deep white matter_PIB_RESULT", </t>
  </si>
  <si>
    <t xml:space="preserve">"Large vessel infarct(s)?_AV1451_RESULT", </t>
  </si>
  <si>
    <t xml:space="preserve">"Large vessel infarct(s)?_AV1451_LOCATION", </t>
  </si>
  <si>
    <t xml:space="preserve">"Lacunar infarct(s)?_AV1451_RESULT", </t>
  </si>
  <si>
    <t xml:space="preserve">"Lacunar infarct(s)?_AV1451_LOCATION", </t>
  </si>
  <si>
    <t xml:space="preserve">"Macrohemorrhage(s)?_AV1451_RESULT", </t>
  </si>
  <si>
    <t xml:space="preserve">"Macrohemorrhage(s)?_AV1451_LOCATION", </t>
  </si>
  <si>
    <t xml:space="preserve">"Microhemorrage(s)?_AV1451_RESULT", </t>
  </si>
  <si>
    <t xml:space="preserve">"Microhemorrage(s)?_AV1451_LOCATION", </t>
  </si>
  <si>
    <t xml:space="preserve">"Moderate white matter hyperintensities?(CHS 5-6)_AV1451_RESULT", </t>
  </si>
  <si>
    <t xml:space="preserve">"Extensive white matter hyperintensities?(CHS 7 or 8)_AV1451_RESULT", </t>
  </si>
  <si>
    <t xml:space="preserve">"CHS score (1-8)_AV1451_RESULT", </t>
  </si>
  <si>
    <t xml:space="preserve">"Fazekas score for periventricular white matter_AV1451_RESULT", </t>
  </si>
  <si>
    <t xml:space="preserve">"Fazekas score for deep white matter_AV1451_RESULT", </t>
  </si>
  <si>
    <t xml:space="preserve">"Entire brain_PIB_Volume (mL)", </t>
  </si>
  <si>
    <t xml:space="preserve">"Entire cerebellum_PIB_Volume (mL)", </t>
  </si>
  <si>
    <t xml:space="preserve">"Entire cerebellum_PIB_Region volume as percent of entire brain", </t>
  </si>
  <si>
    <t xml:space="preserve">"Entire cerebral cortex_PIB_Volume (mL)", </t>
  </si>
  <si>
    <t xml:space="preserve">"Entire cerebral cortex_PIB_Region volume as percent of entire brain", </t>
  </si>
  <si>
    <t xml:space="preserve">"Left caudate_PIB_Volume (mL)", </t>
  </si>
  <si>
    <t xml:space="preserve">"Left caudate_PIB_Region volume as percent of entire brain", </t>
  </si>
  <si>
    <t xml:space="preserve">"Right caudate_PIB_Volume (mL)", </t>
  </si>
  <si>
    <t xml:space="preserve">"Right caudate_PIB_Region volume as percent of entire brain", </t>
  </si>
  <si>
    <t xml:space="preserve">"Left frontal cortex_PIB_Volume (mL)", </t>
  </si>
  <si>
    <t xml:space="preserve">"Left frontal cortex_PIB_Region volume as percent of entire brain", </t>
  </si>
  <si>
    <t xml:space="preserve">"Right frontal cortex_PIB_Volume (mL)", </t>
  </si>
  <si>
    <t xml:space="preserve">"Right frontal cortex_PIB_Region volume as percent of entire brain", </t>
  </si>
  <si>
    <t xml:space="preserve">"Left hippocampus_PIB_Volume (mL)", </t>
  </si>
  <si>
    <t xml:space="preserve">"Left hippocampus_PIB_Region volume as percent of entire brain", </t>
  </si>
  <si>
    <t xml:space="preserve">"Right hippocampus_PIB_Volume (mL)", </t>
  </si>
  <si>
    <t xml:space="preserve">"Right hippocampus_PIB_Region volume as percent of entire brain", </t>
  </si>
  <si>
    <t xml:space="preserve">"Left lateral ventricle_PIB_Volume (mL)", </t>
  </si>
  <si>
    <t xml:space="preserve">"Left lateral ventricle_PIB_Region volume as percent of entire brain", </t>
  </si>
  <si>
    <t xml:space="preserve">"Right lateral ventricle_PIB_Volume (mL)", </t>
  </si>
  <si>
    <t xml:space="preserve">"Right lateral ventricle_PIB_Region volume as percent of entire brain", </t>
  </si>
  <si>
    <t xml:space="preserve">"Left occipital cortex_PIB_Volume (mL)", </t>
  </si>
  <si>
    <t xml:space="preserve">"Left occipital cortex_PIB_Region volume as percent of entire brain", </t>
  </si>
  <si>
    <t xml:space="preserve">"Right occipital cortex_PIB_Volume (mL)", </t>
  </si>
  <si>
    <t xml:space="preserve">"Right occipital cortex_PIB_Region volume as percent of entire brain", </t>
  </si>
  <si>
    <t xml:space="preserve">"Left parietal cortex_PIB_Volume (mL)", </t>
  </si>
  <si>
    <t xml:space="preserve">"Left parietal cortex_PIB_Region volume as percent of entire brain", </t>
  </si>
  <si>
    <t xml:space="preserve">"Right parietal cortex_PIB_Volume (mL)", </t>
  </si>
  <si>
    <t xml:space="preserve">"Right parietal cortex_PIB_Region volume as percent of entire brain", </t>
  </si>
  <si>
    <t xml:space="preserve">"Left putamen_PIB_Volume (mL)", </t>
  </si>
  <si>
    <t xml:space="preserve">"Left putamen_PIB_Region volume as percent of entire brain", </t>
  </si>
  <si>
    <t xml:space="preserve">"Right putamen_PIB_Volume (mL)", </t>
  </si>
  <si>
    <t xml:space="preserve">"Right putamen_PIB_Region volume as percent of entire brain", </t>
  </si>
  <si>
    <t xml:space="preserve">"Left temporal cortex_PIB_Volume (mL)", </t>
  </si>
  <si>
    <t xml:space="preserve">"Left temporal cortex_PIB_Region volume as percent of entire brain", </t>
  </si>
  <si>
    <t xml:space="preserve">"Right temporal cortex_PIB_Volume (mL)", </t>
  </si>
  <si>
    <t xml:space="preserve">"Right temporal cortex_PIB_Region volume as percent of entire brain", </t>
  </si>
  <si>
    <t xml:space="preserve">"Entire brain_AV1451_Volume (mL)", </t>
  </si>
  <si>
    <t xml:space="preserve">"Entire cerebellum_AV1451_Volume (mL)", </t>
  </si>
  <si>
    <t xml:space="preserve">"Entire cerebellum_AV1451_Region volume as percent of entire brain", </t>
  </si>
  <si>
    <t xml:space="preserve">"Entire cerebral cortex_AV1451_Volume (mL)", </t>
  </si>
  <si>
    <t xml:space="preserve">"Entire cerebral cortex_AV1451_Region volume as percent of entire brain", </t>
  </si>
  <si>
    <t xml:space="preserve">"Left caudate_AV1451_Volume (mL)", </t>
  </si>
  <si>
    <t xml:space="preserve">"Left caudate_AV1451_Region volume as percent of entire brain", </t>
  </si>
  <si>
    <t xml:space="preserve">"Right caudate_AV1451_Volume (mL)", </t>
  </si>
  <si>
    <t xml:space="preserve">"Right caudate_AV1451_Region volume as percent of entire brain", </t>
  </si>
  <si>
    <t xml:space="preserve">"Left frontal cortex_AV1451_Volume (mL)", </t>
  </si>
  <si>
    <t xml:space="preserve">"Left frontal cortex_AV1451_Region volume as percent of entire brain", </t>
  </si>
  <si>
    <t xml:space="preserve">"Right frontal cortex_AV1451_Volume (mL)", </t>
  </si>
  <si>
    <t xml:space="preserve">"Right frontal cortex_AV1451_Region volume as percent of entire brain", </t>
  </si>
  <si>
    <t xml:space="preserve">"Left hippocampus_AV1451_Volume (mL)", </t>
  </si>
  <si>
    <t xml:space="preserve">"Left hippocampus_AV1451_Region volume as percent of entire brain", </t>
  </si>
  <si>
    <t xml:space="preserve">"Right hippocampus_AV1451_Volume (mL)", </t>
  </si>
  <si>
    <t xml:space="preserve">"Right hippocampus_AV1451_Region volume as percent of entire brain", </t>
  </si>
  <si>
    <t xml:space="preserve">"Left lateral ventricle_AV1451_Volume (mL)", </t>
  </si>
  <si>
    <t xml:space="preserve">"Left lateral ventricle_AV1451_Region volume as percent of entire brain", </t>
  </si>
  <si>
    <t xml:space="preserve">"Right lateral ventricle_AV1451_Volume (mL)", </t>
  </si>
  <si>
    <t xml:space="preserve">"Right lateral ventricle_AV1451_Region volume as percent of entire brain", </t>
  </si>
  <si>
    <t xml:space="preserve">"Left occipital cortex_AV1451_Volume (mL)", </t>
  </si>
  <si>
    <t xml:space="preserve">"Left occipital cortex_AV1451_Region volume as percent of entire brain", </t>
  </si>
  <si>
    <t xml:space="preserve">"Right occipital cortex_AV1451_Volume (mL)", </t>
  </si>
  <si>
    <t xml:space="preserve">"Right occipital cortex_AV1451_Region volume as percent of entire brain", </t>
  </si>
  <si>
    <t xml:space="preserve">"Left parietal cortex_AV1451_Volume (mL)", </t>
  </si>
  <si>
    <t xml:space="preserve">"Left parietal cortex_AV1451_Region volume as percent of entire brain", </t>
  </si>
  <si>
    <t xml:space="preserve">"Right parietal cortex_AV1451_Volume (mL)", </t>
  </si>
  <si>
    <t xml:space="preserve">"Right parietal cortex_AV1451_Region volume as percent of entire brain", </t>
  </si>
  <si>
    <t xml:space="preserve">"Left putamen_AV1451_Volume (mL)", </t>
  </si>
  <si>
    <t xml:space="preserve">"Left putamen_AV1451_Region volume as percent of entire brain", </t>
  </si>
  <si>
    <t xml:space="preserve">"Right putamen_AV1451_Volume (mL)", </t>
  </si>
  <si>
    <t xml:space="preserve">"Right putamen_AV1451_Region volume as percent of entire brain", </t>
  </si>
  <si>
    <t xml:space="preserve">"Left temporal cortex_AV1451_Volume (mL)", </t>
  </si>
  <si>
    <t xml:space="preserve">"Left temporal cortex_AV1451_Region volume as percent of entire brain", </t>
  </si>
  <si>
    <t xml:space="preserve">"Right temporal cortex_AV1451_Volume (mL)", </t>
  </si>
  <si>
    <t xml:space="preserve">"Right temporal cortex_AV1451_Region volume as percent of entire brain", </t>
  </si>
  <si>
    <t>"",</t>
  </si>
  <si>
    <t xml:space="preserve">"mim_elev_amyl_res_amyl", </t>
  </si>
  <si>
    <t xml:space="preserve">"mim_elev_amyl_conf_amyl", </t>
  </si>
  <si>
    <t xml:space="preserve">"mim_hippoc_atrophy_res_amyl", </t>
  </si>
  <si>
    <t xml:space="preserve">"mim_right_hippoc_atrophy_res_amyl", </t>
  </si>
  <si>
    <t xml:space="preserve">"mim_right_hippoc_duara_res_amyl", </t>
  </si>
  <si>
    <t xml:space="preserve">"mim_left_hippoc_atrophy_res_amyl", </t>
  </si>
  <si>
    <t xml:space="preserve">"mim_left_hippoc_duara_res_amyl", </t>
  </si>
  <si>
    <t xml:space="preserve">"mim_mri_ftld_res_amyl", </t>
  </si>
  <si>
    <t xml:space="preserve">"mim_mri_ftld_conf_amyl", </t>
  </si>
  <si>
    <t xml:space="preserve">"mim_hippoc_atrophy_res_tau", </t>
  </si>
  <si>
    <t xml:space="preserve">"mim_right_hippoc_atrophy_res_tau", </t>
  </si>
  <si>
    <t xml:space="preserve">"mim_right_hippoc_duara_res_tau", </t>
  </si>
  <si>
    <t xml:space="preserve">"mim_left_hippoc_atrophy_res_tau", </t>
  </si>
  <si>
    <t xml:space="preserve">"mim_left_hippoc_duara_res_tau", </t>
  </si>
  <si>
    <t xml:space="preserve">"mim_tau_pet_ad_res_tau", </t>
  </si>
  <si>
    <t xml:space="preserve">"mim_tau_pet_ad_conf_tau", </t>
  </si>
  <si>
    <t xml:space="preserve">"mim_fdg_pet_fltd_res_tau", </t>
  </si>
  <si>
    <t xml:space="preserve">"mim_fdg_pet_fltd_conf_tau", </t>
  </si>
  <si>
    <t xml:space="preserve">"mim_tau_pet_ftld_res_tau", </t>
  </si>
  <si>
    <t xml:space="preserve">"mim_tau_pet_ftld_conf_tau", </t>
  </si>
  <si>
    <t xml:space="preserve">"mim_vessel_infarct_res_amyl", </t>
  </si>
  <si>
    <t xml:space="preserve">"mim_vessel_infarct_locat_amyl", </t>
  </si>
  <si>
    <t xml:space="preserve">"mim_lacuna_infarct_res_amyl", </t>
  </si>
  <si>
    <t xml:space="preserve">"mim_lacuna_infarct_locat_amyl", </t>
  </si>
  <si>
    <t xml:space="preserve">"mim_macro_hemor_res_amyl", </t>
  </si>
  <si>
    <t xml:space="preserve">"mim_macro_hemor_locat_amyl", </t>
  </si>
  <si>
    <t xml:space="preserve">"mim_micro_hemor_res_amyl", </t>
  </si>
  <si>
    <t xml:space="preserve">"mim_micro_hemor_locat_amyl", </t>
  </si>
  <si>
    <t xml:space="preserve">"mim_moderate_wmh_res_amyl", </t>
  </si>
  <si>
    <t xml:space="preserve">"mim_extensive_wmh_res_amyl", </t>
  </si>
  <si>
    <t xml:space="preserve">"mim_chs_score_res_amyl", </t>
  </si>
  <si>
    <t xml:space="preserve">"mim_fazekas_peri_res_amyl", </t>
  </si>
  <si>
    <t xml:space="preserve">"mim_fazekas_deep_res_amyl", </t>
  </si>
  <si>
    <t xml:space="preserve">"mim_vessel_infarct_res_tau", </t>
  </si>
  <si>
    <t xml:space="preserve">"mim_vessel_infarct_locat_tau", </t>
  </si>
  <si>
    <t xml:space="preserve">"mim_lacuna_infarct_res_tau", </t>
  </si>
  <si>
    <t xml:space="preserve">"mim_lacuna_infarct_locat_tau", </t>
  </si>
  <si>
    <t xml:space="preserve">"mim_macro_hemor_res_tau", </t>
  </si>
  <si>
    <t xml:space="preserve">"mim_macro_hemor_locat_tau", </t>
  </si>
  <si>
    <t xml:space="preserve">"mim_micro_hemor_res_tau", </t>
  </si>
  <si>
    <t xml:space="preserve">"mim_micro_hemor_locat_tau", </t>
  </si>
  <si>
    <t xml:space="preserve">"mim_moderate_wmh_res_tau", </t>
  </si>
  <si>
    <t xml:space="preserve">"mim_extensive_wmh_res_tau", </t>
  </si>
  <si>
    <t xml:space="preserve">"mim_chs_score_res_tau", </t>
  </si>
  <si>
    <t xml:space="preserve">"mim_fazekas_peri_res_tau", </t>
  </si>
  <si>
    <t xml:space="preserve">"mim_fazekas_deep_res_tau", </t>
  </si>
  <si>
    <t xml:space="preserve">"mim_brain_vol_amyl", </t>
  </si>
  <si>
    <t xml:space="preserve">"mim_cerebellum_vol_amyl", </t>
  </si>
  <si>
    <t xml:space="preserve">"mim_cerebellum_perc_amyl", </t>
  </si>
  <si>
    <t xml:space="preserve">"mim_cerebral_cortex_vol_amyl", </t>
  </si>
  <si>
    <t xml:space="preserve">"mim_cerebral_cortex_perc_amyl", </t>
  </si>
  <si>
    <t xml:space="preserve">"mim_caudate_l_vol_amyl", </t>
  </si>
  <si>
    <t xml:space="preserve">"mim_caudate_l_perc_amyl", </t>
  </si>
  <si>
    <t xml:space="preserve">"mim_caudate_r_vol_amyl", </t>
  </si>
  <si>
    <t xml:space="preserve">"mim_caudate_r_perc_amyl", </t>
  </si>
  <si>
    <t xml:space="preserve">"mim_front_cortex_l_vol_amyl", </t>
  </si>
  <si>
    <t xml:space="preserve">"mim_front_cortex_l_perc_amyl", </t>
  </si>
  <si>
    <t xml:space="preserve">"mim_front_cortex_r_vol_amyl", </t>
  </si>
  <si>
    <t xml:space="preserve">"mim_front_cortex_r_perc_amyl", </t>
  </si>
  <si>
    <t xml:space="preserve">"mim_hippoc_l_vol_amyl", </t>
  </si>
  <si>
    <t xml:space="preserve">"mim_hippoc_l_perc_amyl", </t>
  </si>
  <si>
    <t xml:space="preserve">"mim_hippoc_r_vol_amyl", </t>
  </si>
  <si>
    <t xml:space="preserve">"mim_hippoc_r_perc_amyl", </t>
  </si>
  <si>
    <t xml:space="preserve">"mim_ventricle_l_vol_amyl", </t>
  </si>
  <si>
    <t xml:space="preserve">"mim_ventricle_l_perc_amyl", </t>
  </si>
  <si>
    <t xml:space="preserve">"mim_ventricle_r_vol_amyl", </t>
  </si>
  <si>
    <t xml:space="preserve">"mim_ventricle_r_perc_amyl", </t>
  </si>
  <si>
    <t xml:space="preserve">"mim_occipital_l_vol_amyl", </t>
  </si>
  <si>
    <t xml:space="preserve">"mim_occipital_l_perc_amyl", </t>
  </si>
  <si>
    <t xml:space="preserve">"mim_occipital_r_vol_amyl", </t>
  </si>
  <si>
    <t xml:space="preserve">"mim_occipital_r_perc_amyl", </t>
  </si>
  <si>
    <t xml:space="preserve">"mim_parietal_l_vol_amyl", </t>
  </si>
  <si>
    <t xml:space="preserve">"mim_parietal_l_perc_amyl", </t>
  </si>
  <si>
    <t xml:space="preserve">"mim_parietal_r_vol_amyl", </t>
  </si>
  <si>
    <t xml:space="preserve">"mim_parietal_r_perc_amyl", </t>
  </si>
  <si>
    <t xml:space="preserve">"mim_putamen_l_vol_amyl", </t>
  </si>
  <si>
    <t xml:space="preserve">"mim_putamen_l_perc_amyl", </t>
  </si>
  <si>
    <t xml:space="preserve">"mim_putamen_r_vol_amyl", </t>
  </si>
  <si>
    <t xml:space="preserve">"mim_putamen_r_perc_amyl", </t>
  </si>
  <si>
    <t xml:space="preserve">"mim_temporal_l_vol_amyl", </t>
  </si>
  <si>
    <t xml:space="preserve">"mim_temporal_l_perc_amyl", </t>
  </si>
  <si>
    <t xml:space="preserve">"mim_temporal_r_vol_amyl", </t>
  </si>
  <si>
    <t xml:space="preserve">"mim_temporal_r_perc_amyl", </t>
  </si>
  <si>
    <t xml:space="preserve">"mim_brain_vol_tau", </t>
  </si>
  <si>
    <t xml:space="preserve">"mim_cerebellum_vol_tau", </t>
  </si>
  <si>
    <t xml:space="preserve">"mim_cerebellum_perc_tau", </t>
  </si>
  <si>
    <t xml:space="preserve">"mim_cerebral_cortex_vol_tau", </t>
  </si>
  <si>
    <t xml:space="preserve">"mim_cerebral_cortex_perc_tau", </t>
  </si>
  <si>
    <t xml:space="preserve">"mim_caudate_l_vol_tau", </t>
  </si>
  <si>
    <t xml:space="preserve">"mim_caudate_l_perc_tau", </t>
  </si>
  <si>
    <t xml:space="preserve">"mim_caudate_r_vol_tau", </t>
  </si>
  <si>
    <t xml:space="preserve">"mim_caudate_r_perc_tau", </t>
  </si>
  <si>
    <t xml:space="preserve">"mim_front_cortex_l_vol_tau", </t>
  </si>
  <si>
    <t xml:space="preserve">"mim_front_cortex_l_perc_tau", </t>
  </si>
  <si>
    <t xml:space="preserve">"mim_front_cortex_r_vol_tau", </t>
  </si>
  <si>
    <t xml:space="preserve">"mim_front_cortex_r_perc_tau", </t>
  </si>
  <si>
    <t xml:space="preserve">"mim_hippoc_l_vol_tau", </t>
  </si>
  <si>
    <t xml:space="preserve">"mim_hippoc_l_perc_tau", </t>
  </si>
  <si>
    <t xml:space="preserve">"mim_hippoc_r_vol_tau", </t>
  </si>
  <si>
    <t xml:space="preserve">"mim_hippoc_r_perc_tau", </t>
  </si>
  <si>
    <t xml:space="preserve">"mim_ventricle_l_vol_tau", </t>
  </si>
  <si>
    <t xml:space="preserve">"mim_ventricle_l_perc_tau", </t>
  </si>
  <si>
    <t xml:space="preserve">"mim_ventricle_r_vol_tau", </t>
  </si>
  <si>
    <t xml:space="preserve">"mim_ventricle_r_perc_tau", </t>
  </si>
  <si>
    <t xml:space="preserve">"mim_occipital_l_vol_tau", </t>
  </si>
  <si>
    <t xml:space="preserve">"mim_occipital_l_perc_tau", </t>
  </si>
  <si>
    <t xml:space="preserve">"mim_occipital_r_vol_tau", </t>
  </si>
  <si>
    <t xml:space="preserve">"mim_occipital_r_perc_tau", </t>
  </si>
  <si>
    <t xml:space="preserve">"mim_parietal_l_vol_tau", </t>
  </si>
  <si>
    <t xml:space="preserve">"mim_parietal_l_perc_tau", </t>
  </si>
  <si>
    <t xml:space="preserve">"mim_parietal_r_vol_tau", </t>
  </si>
  <si>
    <t xml:space="preserve">"mim_parietal_r_perc_tau", </t>
  </si>
  <si>
    <t xml:space="preserve">"mim_putamen_l_vol_tau", </t>
  </si>
  <si>
    <t xml:space="preserve">"mim_putamen_l_perc_tau", </t>
  </si>
  <si>
    <t xml:space="preserve">"mim_putamen_r_vol_tau", </t>
  </si>
  <si>
    <t xml:space="preserve">"mim_putamen_r_perc_tau", </t>
  </si>
  <si>
    <t xml:space="preserve">"mim_temporal_l_vol_tau", </t>
  </si>
  <si>
    <t xml:space="preserve">"mim_temporal_l_perc_tau", </t>
  </si>
  <si>
    <t xml:space="preserve">"mim_temporal_r_vol_tau", </t>
  </si>
  <si>
    <t xml:space="preserve">"mim_temporal_r_perc_tau",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</si>
</sst>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8156-54A2-4699-81CE-240BB17EB3C5}">
  <dimension ref="A1:A154"/>
  <sheetViews>
    <sheetView workbookViewId="0">
      <selection activeCell="A7" sqref="A7:A22"/>
    </sheetView>
  </sheetViews>
  <sheetFormatPr defaultRowHeight="15" x14ac:dyDescent="0.25"/>
  <sheetData>
    <row r="1" spans="1:1" x14ac:dyDescent="0.25">
      <c r="A1" t="s">
        <v>147</v>
      </c>
    </row>
    <row r="2" spans="1:1" x14ac:dyDescent="0.25">
      <c r="A2" t="s">
        <v>148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  <row r="7" spans="1:1" x14ac:dyDescent="0.25">
      <c r="A7" t="s">
        <v>0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153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95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  <row r="117" spans="1:1" x14ac:dyDescent="0.25">
      <c r="A117" t="s">
        <v>110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116</v>
      </c>
    </row>
    <row r="124" spans="1:1" x14ac:dyDescent="0.25">
      <c r="A124" t="s">
        <v>117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39" spans="1:1" x14ac:dyDescent="0.25">
      <c r="A139" t="s">
        <v>132</v>
      </c>
    </row>
    <row r="140" spans="1:1" x14ac:dyDescent="0.25">
      <c r="A140" t="s">
        <v>133</v>
      </c>
    </row>
    <row r="141" spans="1:1" x14ac:dyDescent="0.25">
      <c r="A141" t="s">
        <v>134</v>
      </c>
    </row>
    <row r="142" spans="1:1" x14ac:dyDescent="0.25">
      <c r="A142" t="s">
        <v>135</v>
      </c>
    </row>
    <row r="143" spans="1:1" x14ac:dyDescent="0.25">
      <c r="A143" t="s">
        <v>136</v>
      </c>
    </row>
    <row r="144" spans="1:1" x14ac:dyDescent="0.25">
      <c r="A144" t="s">
        <v>137</v>
      </c>
    </row>
    <row r="145" spans="1:1" x14ac:dyDescent="0.25">
      <c r="A145" t="s">
        <v>138</v>
      </c>
    </row>
    <row r="146" spans="1:1" x14ac:dyDescent="0.25">
      <c r="A146" t="s">
        <v>139</v>
      </c>
    </row>
    <row r="147" spans="1:1" x14ac:dyDescent="0.25">
      <c r="A147" t="s">
        <v>140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144</v>
      </c>
    </row>
    <row r="152" spans="1:1" x14ac:dyDescent="0.25">
      <c r="A152" t="s">
        <v>145</v>
      </c>
    </row>
    <row r="153" spans="1:1" x14ac:dyDescent="0.25">
      <c r="A153" t="s">
        <v>146</v>
      </c>
    </row>
    <row r="154" spans="1:1" x14ac:dyDescent="0.25">
      <c r="A154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465B-C055-476F-8BB8-008F646CBA7D}">
  <dimension ref="A1:EW128"/>
  <sheetViews>
    <sheetView tabSelected="1" topLeftCell="DL1" workbookViewId="0">
      <selection activeCell="DT13" sqref="DT13"/>
    </sheetView>
  </sheetViews>
  <sheetFormatPr defaultRowHeight="15" x14ac:dyDescent="0.25"/>
  <cols>
    <col min="1" max="1" width="49.5703125" bestFit="1" customWidth="1"/>
  </cols>
  <sheetData>
    <row r="1" spans="1:153" x14ac:dyDescent="0.25">
      <c r="A1" t="s">
        <v>155</v>
      </c>
      <c r="B1" t="s">
        <v>41</v>
      </c>
      <c r="D1" t="s">
        <v>167</v>
      </c>
      <c r="E1" t="str">
        <f>D1&amp;"_res"</f>
        <v>elev_amyl_res</v>
      </c>
      <c r="F1" t="str">
        <f>D1&amp;"_conf"</f>
        <v>elev_amyl_conf</v>
      </c>
      <c r="J1" t="s">
        <v>235</v>
      </c>
      <c r="K1" t="s">
        <v>236</v>
      </c>
      <c r="O1" t="s">
        <v>314</v>
      </c>
      <c r="P1" t="s">
        <v>315</v>
      </c>
      <c r="Q1" t="s">
        <v>316</v>
      </c>
      <c r="R1" t="s">
        <v>317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  <c r="BC1" t="s">
        <v>493</v>
      </c>
      <c r="BD1" t="s">
        <v>494</v>
      </c>
      <c r="BE1" t="s">
        <v>495</v>
      </c>
      <c r="BF1" t="s">
        <v>496</v>
      </c>
      <c r="BG1" t="s">
        <v>497</v>
      </c>
      <c r="BH1" t="s">
        <v>498</v>
      </c>
      <c r="BI1" t="s">
        <v>499</v>
      </c>
      <c r="BJ1" t="s">
        <v>500</v>
      </c>
      <c r="BK1" t="s">
        <v>501</v>
      </c>
      <c r="BL1" t="s">
        <v>502</v>
      </c>
      <c r="BM1" t="s">
        <v>503</v>
      </c>
      <c r="BN1" t="s">
        <v>504</v>
      </c>
      <c r="BO1" t="s">
        <v>505</v>
      </c>
      <c r="BP1" t="s">
        <v>506</v>
      </c>
      <c r="BQ1" t="s">
        <v>507</v>
      </c>
      <c r="BR1" t="s">
        <v>508</v>
      </c>
      <c r="BS1" t="s">
        <v>509</v>
      </c>
      <c r="BT1" t="s">
        <v>510</v>
      </c>
      <c r="BU1" t="s">
        <v>511</v>
      </c>
      <c r="BV1" t="s">
        <v>512</v>
      </c>
      <c r="BW1" t="s">
        <v>513</v>
      </c>
      <c r="BX1" t="s">
        <v>514</v>
      </c>
      <c r="BY1" t="s">
        <v>515</v>
      </c>
      <c r="BZ1" t="s">
        <v>516</v>
      </c>
      <c r="CA1" t="s">
        <v>517</v>
      </c>
      <c r="CB1" t="s">
        <v>518</v>
      </c>
      <c r="CC1" t="s">
        <v>519</v>
      </c>
      <c r="CD1" t="s">
        <v>520</v>
      </c>
      <c r="CE1" t="s">
        <v>521</v>
      </c>
      <c r="CF1" t="s">
        <v>522</v>
      </c>
      <c r="CG1" t="s">
        <v>523</v>
      </c>
      <c r="CH1" t="s">
        <v>524</v>
      </c>
      <c r="CI1" t="s">
        <v>525</v>
      </c>
      <c r="CJ1" t="s">
        <v>526</v>
      </c>
      <c r="CK1" t="s">
        <v>527</v>
      </c>
      <c r="CL1" t="s">
        <v>528</v>
      </c>
      <c r="CM1" t="s">
        <v>529</v>
      </c>
      <c r="CN1" t="s">
        <v>530</v>
      </c>
      <c r="CO1" t="s">
        <v>531</v>
      </c>
      <c r="CP1" t="s">
        <v>532</v>
      </c>
      <c r="CQ1" t="s">
        <v>533</v>
      </c>
      <c r="CR1" t="s">
        <v>534</v>
      </c>
      <c r="CS1" t="s">
        <v>535</v>
      </c>
      <c r="CT1" t="s">
        <v>536</v>
      </c>
      <c r="CU1" t="s">
        <v>537</v>
      </c>
      <c r="CV1" t="s">
        <v>538</v>
      </c>
      <c r="CW1" t="s">
        <v>539</v>
      </c>
      <c r="CX1" t="s">
        <v>540</v>
      </c>
      <c r="CY1" t="s">
        <v>541</v>
      </c>
      <c r="CZ1" t="s">
        <v>542</v>
      </c>
      <c r="DA1" t="s">
        <v>543</v>
      </c>
      <c r="DB1" t="s">
        <v>544</v>
      </c>
      <c r="DC1" t="s">
        <v>545</v>
      </c>
      <c r="DD1" t="s">
        <v>546</v>
      </c>
      <c r="DE1" t="s">
        <v>547</v>
      </c>
      <c r="DF1" t="s">
        <v>548</v>
      </c>
      <c r="DG1" t="s">
        <v>549</v>
      </c>
      <c r="DH1" t="s">
        <v>550</v>
      </c>
      <c r="DI1" t="s">
        <v>551</v>
      </c>
      <c r="DJ1" t="s">
        <v>552</v>
      </c>
      <c r="DK1" t="s">
        <v>553</v>
      </c>
      <c r="DL1" t="s">
        <v>554</v>
      </c>
      <c r="DM1" t="s">
        <v>555</v>
      </c>
      <c r="DN1" t="s">
        <v>556</v>
      </c>
      <c r="DO1" t="s">
        <v>557</v>
      </c>
      <c r="DP1" t="s">
        <v>558</v>
      </c>
      <c r="DQ1" t="s">
        <v>559</v>
      </c>
      <c r="DR1" t="s">
        <v>560</v>
      </c>
      <c r="DS1" t="s">
        <v>561</v>
      </c>
      <c r="DT1" t="s">
        <v>562</v>
      </c>
      <c r="DU1" t="s">
        <v>563</v>
      </c>
      <c r="DV1" t="s">
        <v>564</v>
      </c>
      <c r="DW1" t="s">
        <v>565</v>
      </c>
      <c r="DX1" t="s">
        <v>566</v>
      </c>
      <c r="DY1" t="s">
        <v>567</v>
      </c>
      <c r="DZ1" t="s">
        <v>568</v>
      </c>
      <c r="EA1" t="s">
        <v>569</v>
      </c>
      <c r="EB1" t="s">
        <v>570</v>
      </c>
      <c r="EC1" t="s">
        <v>571</v>
      </c>
      <c r="ED1" t="s">
        <v>572</v>
      </c>
      <c r="EE1" t="s">
        <v>573</v>
      </c>
      <c r="EF1" t="s">
        <v>574</v>
      </c>
      <c r="EG1" t="s">
        <v>575</v>
      </c>
      <c r="EH1" t="s">
        <v>576</v>
      </c>
      <c r="EI1" t="s">
        <v>577</v>
      </c>
      <c r="EJ1" t="s">
        <v>578</v>
      </c>
      <c r="EK1" t="s">
        <v>579</v>
      </c>
      <c r="EL1" t="s">
        <v>580</v>
      </c>
      <c r="EM1" t="s">
        <v>581</v>
      </c>
      <c r="EN1" t="s">
        <v>582</v>
      </c>
      <c r="EO1" t="s">
        <v>583</v>
      </c>
      <c r="EP1" t="s">
        <v>584</v>
      </c>
      <c r="EQ1" t="s">
        <v>585</v>
      </c>
      <c r="ER1" t="s">
        <v>586</v>
      </c>
      <c r="ES1" t="s">
        <v>587</v>
      </c>
      <c r="ET1" t="s">
        <v>588</v>
      </c>
      <c r="EU1" t="s">
        <v>589</v>
      </c>
      <c r="EV1" t="s">
        <v>590</v>
      </c>
      <c r="EW1" t="s">
        <v>591</v>
      </c>
    </row>
    <row r="2" spans="1:153" x14ac:dyDescent="0.25">
      <c r="A2" t="s">
        <v>156</v>
      </c>
      <c r="B2" t="s">
        <v>41</v>
      </c>
      <c r="D2" t="s">
        <v>168</v>
      </c>
      <c r="E2" t="str">
        <f t="shared" ref="E2:E12" si="0">D2&amp;"_res"</f>
        <v>fdg_pet_ad_res</v>
      </c>
      <c r="F2" t="str">
        <f t="shared" ref="F2:F12" si="1">D2&amp;"_conf"</f>
        <v>fdg_pet_ad_conf</v>
      </c>
      <c r="J2" t="s">
        <v>237</v>
      </c>
      <c r="K2" t="s">
        <v>238</v>
      </c>
      <c r="O2" t="s">
        <v>318</v>
      </c>
      <c r="P2" t="s">
        <v>319</v>
      </c>
      <c r="Q2" t="s">
        <v>320</v>
      </c>
      <c r="R2" t="s">
        <v>321</v>
      </c>
    </row>
    <row r="3" spans="1:153" x14ac:dyDescent="0.25">
      <c r="A3" t="s">
        <v>157</v>
      </c>
      <c r="B3" t="s">
        <v>41</v>
      </c>
      <c r="D3" t="s">
        <v>169</v>
      </c>
      <c r="E3" t="str">
        <f t="shared" si="0"/>
        <v>hippoc_atrophy_res</v>
      </c>
      <c r="F3" t="str">
        <f t="shared" si="1"/>
        <v>hippoc_atrophy_conf</v>
      </c>
      <c r="J3" t="s">
        <v>239</v>
      </c>
      <c r="K3" t="s">
        <v>240</v>
      </c>
      <c r="O3" t="s">
        <v>322</v>
      </c>
      <c r="P3" t="s">
        <v>323</v>
      </c>
      <c r="Q3" t="s">
        <v>324</v>
      </c>
      <c r="R3" t="s">
        <v>325</v>
      </c>
      <c r="AH3" t="s">
        <v>593</v>
      </c>
      <c r="AI3" t="s">
        <v>594</v>
      </c>
      <c r="AJ3" t="s">
        <v>595</v>
      </c>
      <c r="AK3" t="s">
        <v>596</v>
      </c>
      <c r="AL3" t="s">
        <v>597</v>
      </c>
      <c r="AM3" t="s">
        <v>598</v>
      </c>
      <c r="AN3" t="s">
        <v>599</v>
      </c>
      <c r="AO3" t="s">
        <v>600</v>
      </c>
      <c r="AP3" t="s">
        <v>601</v>
      </c>
      <c r="AQ3" t="s">
        <v>602</v>
      </c>
      <c r="AR3" t="s">
        <v>603</v>
      </c>
      <c r="AS3" t="s">
        <v>604</v>
      </c>
      <c r="AT3" t="s">
        <v>605</v>
      </c>
      <c r="AU3" t="s">
        <v>606</v>
      </c>
      <c r="AV3" t="s">
        <v>607</v>
      </c>
      <c r="AW3" t="s">
        <v>608</v>
      </c>
      <c r="AX3" t="s">
        <v>609</v>
      </c>
      <c r="AY3" t="s">
        <v>610</v>
      </c>
      <c r="AZ3" t="s">
        <v>611</v>
      </c>
      <c r="BA3" t="s">
        <v>612</v>
      </c>
      <c r="BB3" t="s">
        <v>613</v>
      </c>
      <c r="BC3" t="s">
        <v>614</v>
      </c>
      <c r="BD3" t="s">
        <v>615</v>
      </c>
      <c r="BE3" t="s">
        <v>616</v>
      </c>
      <c r="BF3" t="s">
        <v>617</v>
      </c>
      <c r="BG3" t="s">
        <v>618</v>
      </c>
      <c r="BH3" t="s">
        <v>619</v>
      </c>
      <c r="BI3" t="s">
        <v>620</v>
      </c>
      <c r="BJ3" t="s">
        <v>621</v>
      </c>
      <c r="BK3" t="s">
        <v>622</v>
      </c>
      <c r="BL3" t="s">
        <v>623</v>
      </c>
      <c r="BM3" t="s">
        <v>624</v>
      </c>
      <c r="BN3" t="s">
        <v>625</v>
      </c>
      <c r="BO3" t="s">
        <v>626</v>
      </c>
      <c r="BP3" t="s">
        <v>627</v>
      </c>
      <c r="BQ3" t="s">
        <v>628</v>
      </c>
      <c r="BR3" t="s">
        <v>629</v>
      </c>
      <c r="BS3" t="s">
        <v>630</v>
      </c>
      <c r="BT3" t="s">
        <v>631</v>
      </c>
      <c r="BU3" t="s">
        <v>632</v>
      </c>
      <c r="BV3" t="s">
        <v>633</v>
      </c>
      <c r="BW3" t="s">
        <v>634</v>
      </c>
      <c r="BX3" t="s">
        <v>635</v>
      </c>
      <c r="BY3" t="s">
        <v>636</v>
      </c>
      <c r="BZ3" t="s">
        <v>637</v>
      </c>
      <c r="CA3" t="s">
        <v>638</v>
      </c>
      <c r="CB3" t="s">
        <v>639</v>
      </c>
      <c r="CC3" t="s">
        <v>640</v>
      </c>
      <c r="CD3" t="s">
        <v>641</v>
      </c>
      <c r="CE3" t="s">
        <v>642</v>
      </c>
      <c r="CF3" t="s">
        <v>643</v>
      </c>
      <c r="CG3" t="s">
        <v>644</v>
      </c>
      <c r="CH3" t="s">
        <v>645</v>
      </c>
      <c r="CI3" t="s">
        <v>646</v>
      </c>
      <c r="CJ3" t="s">
        <v>647</v>
      </c>
      <c r="CK3" t="s">
        <v>648</v>
      </c>
      <c r="CL3" t="s">
        <v>649</v>
      </c>
      <c r="CM3" t="s">
        <v>650</v>
      </c>
      <c r="CN3" t="s">
        <v>651</v>
      </c>
      <c r="CO3" t="s">
        <v>652</v>
      </c>
      <c r="CP3" t="s">
        <v>653</v>
      </c>
      <c r="CQ3" t="s">
        <v>654</v>
      </c>
      <c r="CR3" t="s">
        <v>655</v>
      </c>
      <c r="CS3" t="s">
        <v>656</v>
      </c>
      <c r="CT3" t="s">
        <v>657</v>
      </c>
      <c r="CU3" t="s">
        <v>658</v>
      </c>
      <c r="CV3" t="s">
        <v>659</v>
      </c>
      <c r="CW3" t="s">
        <v>660</v>
      </c>
      <c r="CX3" t="s">
        <v>661</v>
      </c>
      <c r="CY3" t="s">
        <v>662</v>
      </c>
      <c r="CZ3" t="s">
        <v>663</v>
      </c>
      <c r="DA3" t="s">
        <v>664</v>
      </c>
      <c r="DB3" t="s">
        <v>665</v>
      </c>
      <c r="DC3" t="s">
        <v>666</v>
      </c>
      <c r="DD3" t="s">
        <v>667</v>
      </c>
      <c r="DE3" t="s">
        <v>668</v>
      </c>
      <c r="DF3" t="s">
        <v>669</v>
      </c>
      <c r="DG3" t="s">
        <v>670</v>
      </c>
      <c r="DH3" t="s">
        <v>671</v>
      </c>
      <c r="DI3" t="s">
        <v>672</v>
      </c>
      <c r="DJ3" t="s">
        <v>673</v>
      </c>
      <c r="DK3" t="s">
        <v>674</v>
      </c>
      <c r="DL3" t="s">
        <v>675</v>
      </c>
      <c r="DM3" t="s">
        <v>676</v>
      </c>
      <c r="DN3" t="s">
        <v>677</v>
      </c>
      <c r="DO3" t="s">
        <v>678</v>
      </c>
      <c r="DP3" t="s">
        <v>679</v>
      </c>
      <c r="DQ3" t="s">
        <v>680</v>
      </c>
      <c r="DR3" t="s">
        <v>681</v>
      </c>
      <c r="DS3" t="s">
        <v>682</v>
      </c>
      <c r="DT3" t="s">
        <v>683</v>
      </c>
      <c r="DU3" t="s">
        <v>684</v>
      </c>
      <c r="DV3" t="s">
        <v>685</v>
      </c>
      <c r="DW3" t="s">
        <v>686</v>
      </c>
      <c r="DX3" t="s">
        <v>687</v>
      </c>
      <c r="DY3" t="s">
        <v>688</v>
      </c>
      <c r="DZ3" t="s">
        <v>689</v>
      </c>
      <c r="EA3" t="s">
        <v>690</v>
      </c>
      <c r="EB3" t="s">
        <v>691</v>
      </c>
      <c r="EC3" t="s">
        <v>692</v>
      </c>
      <c r="ED3" t="s">
        <v>693</v>
      </c>
      <c r="EE3" t="s">
        <v>694</v>
      </c>
      <c r="EF3" t="s">
        <v>695</v>
      </c>
      <c r="EG3" t="s">
        <v>696</v>
      </c>
      <c r="EH3" t="s">
        <v>697</v>
      </c>
      <c r="EI3" t="s">
        <v>698</v>
      </c>
      <c r="EJ3" t="s">
        <v>699</v>
      </c>
      <c r="EK3" t="s">
        <v>700</v>
      </c>
      <c r="EL3" t="s">
        <v>701</v>
      </c>
      <c r="EM3" t="s">
        <v>702</v>
      </c>
      <c r="EN3" t="s">
        <v>703</v>
      </c>
      <c r="EO3" t="s">
        <v>704</v>
      </c>
      <c r="EP3" t="s">
        <v>705</v>
      </c>
      <c r="EQ3" t="s">
        <v>706</v>
      </c>
      <c r="ER3" t="s">
        <v>707</v>
      </c>
      <c r="ES3" t="s">
        <v>708</v>
      </c>
      <c r="ET3" t="s">
        <v>709</v>
      </c>
      <c r="EU3" t="s">
        <v>710</v>
      </c>
      <c r="EV3" t="s">
        <v>711</v>
      </c>
      <c r="EW3" t="s">
        <v>712</v>
      </c>
    </row>
    <row r="4" spans="1:153" x14ac:dyDescent="0.25">
      <c r="A4" t="s">
        <v>158</v>
      </c>
      <c r="B4" t="s">
        <v>41</v>
      </c>
      <c r="D4" t="s">
        <v>170</v>
      </c>
      <c r="E4" t="str">
        <f t="shared" si="0"/>
        <v>right_hippoc_atrophy_res</v>
      </c>
      <c r="F4" t="str">
        <f t="shared" si="1"/>
        <v>right_hippoc_atrophy_conf</v>
      </c>
      <c r="J4" t="s">
        <v>241</v>
      </c>
      <c r="K4" t="s">
        <v>242</v>
      </c>
      <c r="O4" t="s">
        <v>326</v>
      </c>
      <c r="P4" t="s">
        <v>327</v>
      </c>
      <c r="Q4" t="s">
        <v>328</v>
      </c>
      <c r="R4" t="s">
        <v>329</v>
      </c>
    </row>
    <row r="5" spans="1:153" x14ac:dyDescent="0.25">
      <c r="A5" t="s">
        <v>159</v>
      </c>
      <c r="B5" t="s">
        <v>41</v>
      </c>
      <c r="D5" t="s">
        <v>171</v>
      </c>
      <c r="E5" t="str">
        <f t="shared" si="0"/>
        <v>right_hippoc_duara_res</v>
      </c>
      <c r="F5" t="str">
        <f t="shared" si="1"/>
        <v>right_hippoc_duara_conf</v>
      </c>
      <c r="J5" t="s">
        <v>243</v>
      </c>
      <c r="K5" t="s">
        <v>244</v>
      </c>
      <c r="O5" t="s">
        <v>330</v>
      </c>
      <c r="P5" t="s">
        <v>331</v>
      </c>
      <c r="Q5" t="s">
        <v>332</v>
      </c>
      <c r="R5" t="s">
        <v>333</v>
      </c>
    </row>
    <row r="6" spans="1:153" x14ac:dyDescent="0.25">
      <c r="A6" t="s">
        <v>160</v>
      </c>
      <c r="B6" t="s">
        <v>41</v>
      </c>
      <c r="D6" t="s">
        <v>172</v>
      </c>
      <c r="E6" t="str">
        <f t="shared" si="0"/>
        <v>left_hippoc_atrophy_res</v>
      </c>
      <c r="F6" t="str">
        <f t="shared" si="1"/>
        <v>left_hippoc_atrophy_conf</v>
      </c>
      <c r="J6" t="s">
        <v>245</v>
      </c>
      <c r="K6" t="s">
        <v>246</v>
      </c>
      <c r="O6" t="s">
        <v>334</v>
      </c>
      <c r="P6" t="s">
        <v>335</v>
      </c>
      <c r="Q6" t="s">
        <v>336</v>
      </c>
      <c r="R6" t="s">
        <v>337</v>
      </c>
    </row>
    <row r="7" spans="1:153" x14ac:dyDescent="0.25">
      <c r="A7" t="s">
        <v>161</v>
      </c>
      <c r="B7" t="s">
        <v>41</v>
      </c>
      <c r="D7" t="s">
        <v>173</v>
      </c>
      <c r="E7" t="str">
        <f t="shared" si="0"/>
        <v>left_hippoc_duara_res</v>
      </c>
      <c r="F7" t="str">
        <f t="shared" si="1"/>
        <v>left_hippoc_duara_conf</v>
      </c>
      <c r="J7" t="s">
        <v>247</v>
      </c>
      <c r="K7" t="s">
        <v>248</v>
      </c>
      <c r="O7" t="s">
        <v>338</v>
      </c>
      <c r="P7" t="s">
        <v>339</v>
      </c>
      <c r="Q7" t="s">
        <v>340</v>
      </c>
      <c r="R7" t="s">
        <v>341</v>
      </c>
    </row>
    <row r="8" spans="1:153" x14ac:dyDescent="0.25">
      <c r="A8" t="s">
        <v>162</v>
      </c>
      <c r="B8" t="s">
        <v>41</v>
      </c>
      <c r="D8" t="s">
        <v>174</v>
      </c>
      <c r="E8" t="str">
        <f t="shared" si="0"/>
        <v>tau_pet_ad_res</v>
      </c>
      <c r="F8" t="str">
        <f t="shared" si="1"/>
        <v>tau_pet_ad_conf</v>
      </c>
      <c r="J8" t="s">
        <v>249</v>
      </c>
      <c r="K8" t="s">
        <v>250</v>
      </c>
      <c r="O8" t="s">
        <v>342</v>
      </c>
      <c r="P8" t="s">
        <v>343</v>
      </c>
      <c r="Q8" t="s">
        <v>344</v>
      </c>
      <c r="R8" t="s">
        <v>345</v>
      </c>
    </row>
    <row r="9" spans="1:153" x14ac:dyDescent="0.25">
      <c r="A9" t="s">
        <v>163</v>
      </c>
      <c r="B9" t="s">
        <v>41</v>
      </c>
      <c r="D9" t="s">
        <v>175</v>
      </c>
      <c r="E9" t="str">
        <f t="shared" si="0"/>
        <v>fdg_pet_fltd_res</v>
      </c>
      <c r="F9" t="str">
        <f t="shared" si="1"/>
        <v>fdg_pet_fltd_conf</v>
      </c>
      <c r="J9" t="s">
        <v>251</v>
      </c>
      <c r="K9" t="s">
        <v>252</v>
      </c>
      <c r="O9" t="s">
        <v>346</v>
      </c>
      <c r="P9" t="s">
        <v>347</v>
      </c>
      <c r="Q9" t="s">
        <v>348</v>
      </c>
      <c r="R9" t="s">
        <v>349</v>
      </c>
      <c r="AH9" t="s">
        <v>472</v>
      </c>
      <c r="AI9" t="s">
        <v>592</v>
      </c>
      <c r="AJ9" t="s">
        <v>593</v>
      </c>
      <c r="AO9" t="s">
        <v>77</v>
      </c>
      <c r="AQ9" t="s">
        <v>314</v>
      </c>
    </row>
    <row r="10" spans="1:153" x14ac:dyDescent="0.25">
      <c r="A10" t="s">
        <v>164</v>
      </c>
      <c r="B10" t="s">
        <v>41</v>
      </c>
      <c r="D10" t="s">
        <v>176</v>
      </c>
      <c r="E10" t="str">
        <f t="shared" si="0"/>
        <v>tau_pet_ftld_res</v>
      </c>
      <c r="F10" t="str">
        <f t="shared" si="1"/>
        <v>tau_pet_ftld_conf</v>
      </c>
      <c r="J10" t="s">
        <v>253</v>
      </c>
      <c r="K10" t="s">
        <v>254</v>
      </c>
      <c r="O10" t="s">
        <v>350</v>
      </c>
      <c r="P10" t="s">
        <v>351</v>
      </c>
      <c r="Q10" t="s">
        <v>352</v>
      </c>
      <c r="R10" t="s">
        <v>353</v>
      </c>
      <c r="AH10" t="s">
        <v>473</v>
      </c>
      <c r="AI10" t="s">
        <v>592</v>
      </c>
      <c r="AJ10" t="s">
        <v>594</v>
      </c>
      <c r="AO10" t="s">
        <v>78</v>
      </c>
      <c r="AQ10" t="s">
        <v>315</v>
      </c>
    </row>
    <row r="11" spans="1:153" x14ac:dyDescent="0.25">
      <c r="A11" t="s">
        <v>165</v>
      </c>
      <c r="B11" t="s">
        <v>41</v>
      </c>
      <c r="D11" t="s">
        <v>177</v>
      </c>
      <c r="E11" t="str">
        <f t="shared" si="0"/>
        <v>mri_ftld_res</v>
      </c>
      <c r="F11" t="str">
        <f t="shared" si="1"/>
        <v>mri_ftld_conf</v>
      </c>
      <c r="J11" t="s">
        <v>255</v>
      </c>
      <c r="K11" t="s">
        <v>256</v>
      </c>
      <c r="O11" t="s">
        <v>354</v>
      </c>
      <c r="P11" t="s">
        <v>355</v>
      </c>
      <c r="Q11" t="s">
        <v>356</v>
      </c>
      <c r="R11" t="s">
        <v>357</v>
      </c>
      <c r="AH11" t="s">
        <v>474</v>
      </c>
      <c r="AI11" t="s">
        <v>592</v>
      </c>
      <c r="AJ11" t="s">
        <v>595</v>
      </c>
      <c r="AO11" t="s">
        <v>79</v>
      </c>
      <c r="AQ11" t="s">
        <v>322</v>
      </c>
    </row>
    <row r="12" spans="1:153" x14ac:dyDescent="0.25">
      <c r="A12" t="s">
        <v>166</v>
      </c>
      <c r="B12" t="s">
        <v>41</v>
      </c>
      <c r="D12" t="s">
        <v>178</v>
      </c>
      <c r="E12" t="str">
        <f t="shared" si="0"/>
        <v>fdg_pet_res</v>
      </c>
      <c r="F12" t="str">
        <f t="shared" si="1"/>
        <v>fdg_pet_conf</v>
      </c>
      <c r="J12" t="s">
        <v>257</v>
      </c>
      <c r="K12" t="s">
        <v>258</v>
      </c>
      <c r="O12" t="s">
        <v>358</v>
      </c>
      <c r="P12" t="s">
        <v>359</v>
      </c>
      <c r="Q12" t="s">
        <v>360</v>
      </c>
      <c r="R12" t="s">
        <v>361</v>
      </c>
      <c r="AH12" t="s">
        <v>475</v>
      </c>
      <c r="AI12" t="s">
        <v>592</v>
      </c>
      <c r="AJ12" t="s">
        <v>596</v>
      </c>
      <c r="AO12" t="s">
        <v>81</v>
      </c>
      <c r="AQ12" t="s">
        <v>326</v>
      </c>
    </row>
    <row r="13" spans="1:153" x14ac:dyDescent="0.25">
      <c r="AH13" t="s">
        <v>476</v>
      </c>
      <c r="AI13" t="s">
        <v>592</v>
      </c>
      <c r="AJ13" t="s">
        <v>597</v>
      </c>
      <c r="AO13" t="s">
        <v>83</v>
      </c>
      <c r="AQ13" t="s">
        <v>330</v>
      </c>
    </row>
    <row r="14" spans="1:153" x14ac:dyDescent="0.25">
      <c r="AH14" t="s">
        <v>477</v>
      </c>
      <c r="AI14" t="s">
        <v>592</v>
      </c>
      <c r="AJ14" t="s">
        <v>598</v>
      </c>
      <c r="AO14" t="s">
        <v>85</v>
      </c>
      <c r="AQ14" t="s">
        <v>334</v>
      </c>
    </row>
    <row r="15" spans="1:153" x14ac:dyDescent="0.25">
      <c r="A15" t="s">
        <v>179</v>
      </c>
      <c r="D15" t="s">
        <v>188</v>
      </c>
      <c r="E15" t="str">
        <f>D15&amp;"_res"</f>
        <v>vessel_infarct_res</v>
      </c>
      <c r="F15" t="str">
        <f>D15&amp;"_locat"</f>
        <v>vessel_infarct_locat</v>
      </c>
      <c r="J15" t="s">
        <v>259</v>
      </c>
      <c r="K15" t="s">
        <v>260</v>
      </c>
      <c r="O15" t="s">
        <v>362</v>
      </c>
      <c r="P15" t="s">
        <v>363</v>
      </c>
      <c r="Q15" t="s">
        <v>364</v>
      </c>
      <c r="R15" t="s">
        <v>365</v>
      </c>
      <c r="AH15" t="s">
        <v>478</v>
      </c>
      <c r="AI15" t="s">
        <v>592</v>
      </c>
      <c r="AJ15" t="s">
        <v>599</v>
      </c>
      <c r="AO15" t="s">
        <v>87</v>
      </c>
      <c r="AQ15" t="s">
        <v>338</v>
      </c>
    </row>
    <row r="16" spans="1:153" x14ac:dyDescent="0.25">
      <c r="A16" t="s">
        <v>180</v>
      </c>
      <c r="D16" t="s">
        <v>189</v>
      </c>
      <c r="E16" t="str">
        <f t="shared" ref="E16:E23" si="2">D16&amp;"_res"</f>
        <v>lacuna_infarct_res</v>
      </c>
      <c r="F16" t="str">
        <f t="shared" ref="F16:F23" si="3">D16&amp;"_locat"</f>
        <v>lacuna_infarct_locat</v>
      </c>
      <c r="J16" t="s">
        <v>261</v>
      </c>
      <c r="K16" t="s">
        <v>262</v>
      </c>
      <c r="O16" t="s">
        <v>366</v>
      </c>
      <c r="P16" t="s">
        <v>367</v>
      </c>
      <c r="Q16" t="s">
        <v>368</v>
      </c>
      <c r="R16" t="s">
        <v>369</v>
      </c>
      <c r="AH16" t="s">
        <v>479</v>
      </c>
      <c r="AI16" t="s">
        <v>592</v>
      </c>
      <c r="AJ16" t="s">
        <v>600</v>
      </c>
      <c r="AO16" t="s">
        <v>89</v>
      </c>
      <c r="AQ16" t="s">
        <v>354</v>
      </c>
    </row>
    <row r="17" spans="1:43" x14ac:dyDescent="0.25">
      <c r="A17" t="s">
        <v>181</v>
      </c>
      <c r="D17" t="s">
        <v>190</v>
      </c>
      <c r="E17" t="str">
        <f t="shared" si="2"/>
        <v>macro_hemor_res</v>
      </c>
      <c r="F17" t="str">
        <f t="shared" si="3"/>
        <v>macro_hemor_locat</v>
      </c>
      <c r="J17" t="s">
        <v>263</v>
      </c>
      <c r="K17" t="s">
        <v>264</v>
      </c>
      <c r="O17" t="s">
        <v>370</v>
      </c>
      <c r="P17" t="s">
        <v>371</v>
      </c>
      <c r="Q17" t="s">
        <v>372</v>
      </c>
      <c r="R17" t="s">
        <v>373</v>
      </c>
      <c r="AH17" t="s">
        <v>480</v>
      </c>
      <c r="AI17" t="s">
        <v>592</v>
      </c>
      <c r="AJ17" t="s">
        <v>601</v>
      </c>
      <c r="AO17" t="s">
        <v>90</v>
      </c>
      <c r="AQ17" t="s">
        <v>355</v>
      </c>
    </row>
    <row r="18" spans="1:43" x14ac:dyDescent="0.25">
      <c r="A18" t="s">
        <v>182</v>
      </c>
      <c r="D18" t="s">
        <v>191</v>
      </c>
      <c r="E18" t="str">
        <f t="shared" si="2"/>
        <v>micro_hemor_res</v>
      </c>
      <c r="F18" t="str">
        <f t="shared" si="3"/>
        <v>micro_hemor_locat</v>
      </c>
      <c r="J18" t="s">
        <v>265</v>
      </c>
      <c r="K18" t="s">
        <v>266</v>
      </c>
      <c r="O18" t="s">
        <v>374</v>
      </c>
      <c r="P18" t="s">
        <v>375</v>
      </c>
      <c r="Q18" t="s">
        <v>376</v>
      </c>
      <c r="R18" t="s">
        <v>377</v>
      </c>
      <c r="AH18" t="s">
        <v>481</v>
      </c>
      <c r="AI18" t="s">
        <v>592</v>
      </c>
      <c r="AJ18" t="s">
        <v>602</v>
      </c>
      <c r="AO18" t="s">
        <v>0</v>
      </c>
      <c r="AQ18" t="s">
        <v>324</v>
      </c>
    </row>
    <row r="19" spans="1:43" x14ac:dyDescent="0.25">
      <c r="A19" t="s">
        <v>183</v>
      </c>
      <c r="D19" t="s">
        <v>192</v>
      </c>
      <c r="E19" t="str">
        <f t="shared" si="2"/>
        <v>moderate_wmh_res</v>
      </c>
      <c r="F19" t="str">
        <f t="shared" si="3"/>
        <v>moderate_wmh_locat</v>
      </c>
      <c r="J19" t="s">
        <v>267</v>
      </c>
      <c r="K19" t="s">
        <v>268</v>
      </c>
      <c r="O19" t="s">
        <v>378</v>
      </c>
      <c r="P19" t="s">
        <v>379</v>
      </c>
      <c r="Q19" t="s">
        <v>380</v>
      </c>
      <c r="R19" t="s">
        <v>381</v>
      </c>
      <c r="AH19" t="s">
        <v>482</v>
      </c>
      <c r="AI19" t="s">
        <v>592</v>
      </c>
      <c r="AJ19" t="s">
        <v>603</v>
      </c>
      <c r="AO19" t="s">
        <v>2</v>
      </c>
      <c r="AQ19" t="s">
        <v>328</v>
      </c>
    </row>
    <row r="20" spans="1:43" x14ac:dyDescent="0.25">
      <c r="A20" t="s">
        <v>184</v>
      </c>
      <c r="D20" t="s">
        <v>193</v>
      </c>
      <c r="E20" t="str">
        <f t="shared" si="2"/>
        <v>extensive_wmh_res</v>
      </c>
      <c r="F20" t="str">
        <f t="shared" si="3"/>
        <v>extensive_wmh_locat</v>
      </c>
      <c r="J20" t="s">
        <v>269</v>
      </c>
      <c r="K20" t="s">
        <v>270</v>
      </c>
      <c r="O20" t="s">
        <v>382</v>
      </c>
      <c r="P20" t="s">
        <v>383</v>
      </c>
      <c r="Q20" t="s">
        <v>384</v>
      </c>
      <c r="R20" t="s">
        <v>385</v>
      </c>
      <c r="AH20" t="s">
        <v>483</v>
      </c>
      <c r="AI20" t="s">
        <v>592</v>
      </c>
      <c r="AJ20" t="s">
        <v>604</v>
      </c>
      <c r="AO20" t="s">
        <v>4</v>
      </c>
      <c r="AQ20" t="s">
        <v>332</v>
      </c>
    </row>
    <row r="21" spans="1:43" x14ac:dyDescent="0.25">
      <c r="A21" t="s">
        <v>185</v>
      </c>
      <c r="D21" t="s">
        <v>194</v>
      </c>
      <c r="E21" t="str">
        <f t="shared" si="2"/>
        <v>chs_score_res</v>
      </c>
      <c r="F21" t="str">
        <f t="shared" si="3"/>
        <v>chs_score_locat</v>
      </c>
      <c r="J21" t="s">
        <v>271</v>
      </c>
      <c r="K21" t="s">
        <v>272</v>
      </c>
      <c r="O21" t="s">
        <v>386</v>
      </c>
      <c r="P21" t="s">
        <v>387</v>
      </c>
      <c r="Q21" t="s">
        <v>388</v>
      </c>
      <c r="R21" t="s">
        <v>389</v>
      </c>
      <c r="AH21" t="s">
        <v>484</v>
      </c>
      <c r="AI21" t="s">
        <v>592</v>
      </c>
      <c r="AJ21" t="s">
        <v>605</v>
      </c>
      <c r="AO21" t="s">
        <v>6</v>
      </c>
      <c r="AQ21" t="s">
        <v>336</v>
      </c>
    </row>
    <row r="22" spans="1:43" x14ac:dyDescent="0.25">
      <c r="A22" t="s">
        <v>186</v>
      </c>
      <c r="D22" t="s">
        <v>195</v>
      </c>
      <c r="E22" t="str">
        <f t="shared" si="2"/>
        <v>fazekas_peri_res</v>
      </c>
      <c r="F22" t="str">
        <f t="shared" si="3"/>
        <v>fazekas_peri_locat</v>
      </c>
      <c r="J22" t="s">
        <v>273</v>
      </c>
      <c r="K22" t="s">
        <v>274</v>
      </c>
      <c r="O22" t="s">
        <v>390</v>
      </c>
      <c r="P22" t="s">
        <v>391</v>
      </c>
      <c r="Q22" t="s">
        <v>392</v>
      </c>
      <c r="R22" t="s">
        <v>393</v>
      </c>
      <c r="AH22" t="s">
        <v>485</v>
      </c>
      <c r="AI22" t="s">
        <v>592</v>
      </c>
      <c r="AJ22" t="s">
        <v>606</v>
      </c>
      <c r="AO22" t="s">
        <v>8</v>
      </c>
      <c r="AQ22" t="s">
        <v>340</v>
      </c>
    </row>
    <row r="23" spans="1:43" x14ac:dyDescent="0.25">
      <c r="A23" t="s">
        <v>187</v>
      </c>
      <c r="D23" t="s">
        <v>196</v>
      </c>
      <c r="E23" t="str">
        <f t="shared" si="2"/>
        <v>fazekas_deep_res</v>
      </c>
      <c r="F23" t="str">
        <f t="shared" si="3"/>
        <v>fazekas_deep_locat</v>
      </c>
      <c r="J23" t="s">
        <v>275</v>
      </c>
      <c r="K23" t="s">
        <v>276</v>
      </c>
      <c r="O23" t="s">
        <v>394</v>
      </c>
      <c r="P23" t="s">
        <v>395</v>
      </c>
      <c r="Q23" t="s">
        <v>396</v>
      </c>
      <c r="R23" t="s">
        <v>397</v>
      </c>
      <c r="AH23" t="s">
        <v>486</v>
      </c>
      <c r="AI23" t="s">
        <v>592</v>
      </c>
      <c r="AJ23" t="s">
        <v>607</v>
      </c>
      <c r="AO23" t="s">
        <v>10</v>
      </c>
      <c r="AQ23" t="s">
        <v>344</v>
      </c>
    </row>
    <row r="24" spans="1:43" x14ac:dyDescent="0.25">
      <c r="AH24" t="s">
        <v>487</v>
      </c>
      <c r="AI24" t="s">
        <v>592</v>
      </c>
      <c r="AJ24" t="s">
        <v>608</v>
      </c>
      <c r="AO24" t="s">
        <v>11</v>
      </c>
      <c r="AQ24" t="s">
        <v>345</v>
      </c>
    </row>
    <row r="25" spans="1:43" x14ac:dyDescent="0.25">
      <c r="A25" t="s">
        <v>197</v>
      </c>
      <c r="D25" t="s">
        <v>226</v>
      </c>
      <c r="E25" t="str">
        <f>D25&amp;"_vol"</f>
        <v>brain_vol</v>
      </c>
      <c r="J25" t="s">
        <v>277</v>
      </c>
      <c r="O25" t="s">
        <v>398</v>
      </c>
      <c r="Q25" t="s">
        <v>399</v>
      </c>
      <c r="AH25" t="s">
        <v>488</v>
      </c>
      <c r="AI25" t="s">
        <v>592</v>
      </c>
      <c r="AJ25" t="s">
        <v>609</v>
      </c>
      <c r="AO25" t="s">
        <v>12</v>
      </c>
      <c r="AQ25" t="s">
        <v>348</v>
      </c>
    </row>
    <row r="26" spans="1:43" x14ac:dyDescent="0.25">
      <c r="A26" t="s">
        <v>198</v>
      </c>
      <c r="D26" t="s">
        <v>227</v>
      </c>
      <c r="E26" t="str">
        <f>D26&amp;"_vol"</f>
        <v>cerebellum_vol</v>
      </c>
      <c r="F26" t="str">
        <f>D26&amp;"_perc"</f>
        <v>cerebellum_perc</v>
      </c>
      <c r="J26" t="s">
        <v>278</v>
      </c>
      <c r="K26" t="s">
        <v>279</v>
      </c>
      <c r="O26" t="s">
        <v>400</v>
      </c>
      <c r="P26" t="s">
        <v>401</v>
      </c>
      <c r="Q26" t="s">
        <v>402</v>
      </c>
      <c r="R26" t="s">
        <v>403</v>
      </c>
      <c r="AH26" t="s">
        <v>489</v>
      </c>
      <c r="AI26" t="s">
        <v>592</v>
      </c>
      <c r="AJ26" t="s">
        <v>610</v>
      </c>
      <c r="AO26" t="s">
        <v>13</v>
      </c>
      <c r="AQ26" t="s">
        <v>349</v>
      </c>
    </row>
    <row r="27" spans="1:43" x14ac:dyDescent="0.25">
      <c r="A27" t="s">
        <v>199</v>
      </c>
      <c r="D27" t="s">
        <v>228</v>
      </c>
      <c r="E27" t="str">
        <f t="shared" ref="E27:E43" si="4">D27&amp;"_vol"</f>
        <v>cerebral_cortex_vol</v>
      </c>
      <c r="F27" t="str">
        <f t="shared" ref="F27:F43" si="5">D27&amp;"_perc"</f>
        <v>cerebral_cortex_perc</v>
      </c>
      <c r="J27" t="s">
        <v>280</v>
      </c>
      <c r="K27" t="s">
        <v>281</v>
      </c>
      <c r="O27" t="s">
        <v>404</v>
      </c>
      <c r="P27" t="s">
        <v>405</v>
      </c>
      <c r="Q27" t="s">
        <v>406</v>
      </c>
      <c r="R27" t="s">
        <v>407</v>
      </c>
      <c r="AH27" t="s">
        <v>490</v>
      </c>
      <c r="AI27" t="s">
        <v>592</v>
      </c>
      <c r="AJ27" t="s">
        <v>611</v>
      </c>
      <c r="AO27" t="s">
        <v>14</v>
      </c>
      <c r="AQ27" t="s">
        <v>352</v>
      </c>
    </row>
    <row r="28" spans="1:43" x14ac:dyDescent="0.25">
      <c r="A28" t="s">
        <v>200</v>
      </c>
      <c r="D28" t="s">
        <v>216</v>
      </c>
      <c r="E28" t="str">
        <f t="shared" si="4"/>
        <v>caudate_l_vol</v>
      </c>
      <c r="F28" t="str">
        <f t="shared" si="5"/>
        <v>caudate_l_perc</v>
      </c>
      <c r="J28" t="s">
        <v>282</v>
      </c>
      <c r="K28" t="s">
        <v>283</v>
      </c>
      <c r="O28" t="s">
        <v>408</v>
      </c>
      <c r="P28" t="s">
        <v>409</v>
      </c>
      <c r="Q28" t="s">
        <v>410</v>
      </c>
      <c r="R28" t="s">
        <v>411</v>
      </c>
      <c r="AH28" t="s">
        <v>491</v>
      </c>
      <c r="AI28" t="s">
        <v>592</v>
      </c>
      <c r="AJ28" t="s">
        <v>612</v>
      </c>
      <c r="AO28" t="s">
        <v>15</v>
      </c>
      <c r="AQ28" t="s">
        <v>353</v>
      </c>
    </row>
    <row r="29" spans="1:43" x14ac:dyDescent="0.25">
      <c r="A29" t="s">
        <v>201</v>
      </c>
      <c r="D29" t="s">
        <v>217</v>
      </c>
      <c r="E29" t="str">
        <f t="shared" si="4"/>
        <v>caudate_r_vol</v>
      </c>
      <c r="F29" t="str">
        <f t="shared" si="5"/>
        <v>caudate_r_perc</v>
      </c>
      <c r="J29" t="s">
        <v>284</v>
      </c>
      <c r="K29" t="s">
        <v>285</v>
      </c>
      <c r="O29" t="s">
        <v>412</v>
      </c>
      <c r="P29" t="s">
        <v>413</v>
      </c>
      <c r="Q29" t="s">
        <v>414</v>
      </c>
      <c r="R29" t="s">
        <v>415</v>
      </c>
      <c r="AH29" t="s">
        <v>492</v>
      </c>
      <c r="AI29" t="s">
        <v>592</v>
      </c>
      <c r="AJ29" t="s">
        <v>613</v>
      </c>
      <c r="AO29" t="s">
        <v>91</v>
      </c>
      <c r="AQ29" t="s">
        <v>362</v>
      </c>
    </row>
    <row r="30" spans="1:43" x14ac:dyDescent="0.25">
      <c r="A30" t="s">
        <v>202</v>
      </c>
      <c r="D30" t="s">
        <v>218</v>
      </c>
      <c r="E30" t="str">
        <f t="shared" si="4"/>
        <v>front_cortex_l_vol</v>
      </c>
      <c r="F30" t="str">
        <f t="shared" si="5"/>
        <v>front_cortex_l_perc</v>
      </c>
      <c r="J30" t="s">
        <v>286</v>
      </c>
      <c r="K30" t="s">
        <v>287</v>
      </c>
      <c r="O30" t="s">
        <v>416</v>
      </c>
      <c r="P30" t="s">
        <v>417</v>
      </c>
      <c r="Q30" t="s">
        <v>418</v>
      </c>
      <c r="R30" t="s">
        <v>419</v>
      </c>
      <c r="AH30" t="s">
        <v>493</v>
      </c>
      <c r="AI30" t="s">
        <v>592</v>
      </c>
      <c r="AJ30" t="s">
        <v>614</v>
      </c>
      <c r="AO30" t="s">
        <v>92</v>
      </c>
      <c r="AQ30" t="s">
        <v>363</v>
      </c>
    </row>
    <row r="31" spans="1:43" x14ac:dyDescent="0.25">
      <c r="A31" t="s">
        <v>203</v>
      </c>
      <c r="D31" t="s">
        <v>219</v>
      </c>
      <c r="E31" t="str">
        <f t="shared" si="4"/>
        <v>front_cortex_r_vol</v>
      </c>
      <c r="F31" t="str">
        <f t="shared" si="5"/>
        <v>front_cortex_r_perc</v>
      </c>
      <c r="J31" t="s">
        <v>288</v>
      </c>
      <c r="K31" t="s">
        <v>289</v>
      </c>
      <c r="O31" t="s">
        <v>420</v>
      </c>
      <c r="P31" t="s">
        <v>421</v>
      </c>
      <c r="Q31" t="s">
        <v>422</v>
      </c>
      <c r="R31" t="s">
        <v>423</v>
      </c>
      <c r="AH31" t="s">
        <v>494</v>
      </c>
      <c r="AI31" t="s">
        <v>592</v>
      </c>
      <c r="AJ31" t="s">
        <v>615</v>
      </c>
      <c r="AO31" t="s">
        <v>93</v>
      </c>
      <c r="AQ31" t="s">
        <v>366</v>
      </c>
    </row>
    <row r="32" spans="1:43" x14ac:dyDescent="0.25">
      <c r="A32" t="s">
        <v>204</v>
      </c>
      <c r="D32" t="s">
        <v>220</v>
      </c>
      <c r="E32" t="str">
        <f t="shared" si="4"/>
        <v>hippoc_l_vol</v>
      </c>
      <c r="F32" t="str">
        <f t="shared" si="5"/>
        <v>hippoc_l_perc</v>
      </c>
      <c r="J32" t="s">
        <v>290</v>
      </c>
      <c r="K32" t="s">
        <v>291</v>
      </c>
      <c r="O32" t="s">
        <v>424</v>
      </c>
      <c r="P32" t="s">
        <v>425</v>
      </c>
      <c r="Q32" t="s">
        <v>426</v>
      </c>
      <c r="R32" t="s">
        <v>427</v>
      </c>
      <c r="AH32" t="s">
        <v>495</v>
      </c>
      <c r="AI32" t="s">
        <v>592</v>
      </c>
      <c r="AJ32" t="s">
        <v>616</v>
      </c>
      <c r="AO32" t="s">
        <v>94</v>
      </c>
      <c r="AQ32" t="s">
        <v>367</v>
      </c>
    </row>
    <row r="33" spans="1:43" x14ac:dyDescent="0.25">
      <c r="A33" t="s">
        <v>205</v>
      </c>
      <c r="D33" t="s">
        <v>221</v>
      </c>
      <c r="E33" t="str">
        <f t="shared" si="4"/>
        <v>hippoc_r_vol</v>
      </c>
      <c r="F33" t="str">
        <f t="shared" si="5"/>
        <v>hippoc_r_perc</v>
      </c>
      <c r="J33" t="s">
        <v>292</v>
      </c>
      <c r="K33" t="s">
        <v>293</v>
      </c>
      <c r="O33" t="s">
        <v>428</v>
      </c>
      <c r="P33" t="s">
        <v>429</v>
      </c>
      <c r="Q33" t="s">
        <v>430</v>
      </c>
      <c r="R33" t="s">
        <v>431</v>
      </c>
      <c r="AH33" t="s">
        <v>496</v>
      </c>
      <c r="AI33" t="s">
        <v>592</v>
      </c>
      <c r="AJ33" t="s">
        <v>617</v>
      </c>
      <c r="AO33" t="s">
        <v>95</v>
      </c>
      <c r="AQ33" t="s">
        <v>370</v>
      </c>
    </row>
    <row r="34" spans="1:43" x14ac:dyDescent="0.25">
      <c r="A34" t="s">
        <v>206</v>
      </c>
      <c r="D34" t="s">
        <v>222</v>
      </c>
      <c r="E34" t="str">
        <f t="shared" si="4"/>
        <v>ventricle_l_vol</v>
      </c>
      <c r="F34" t="str">
        <f t="shared" si="5"/>
        <v>ventricle_l_perc</v>
      </c>
      <c r="J34" t="s">
        <v>294</v>
      </c>
      <c r="K34" t="s">
        <v>295</v>
      </c>
      <c r="O34" t="s">
        <v>432</v>
      </c>
      <c r="P34" t="s">
        <v>433</v>
      </c>
      <c r="Q34" t="s">
        <v>434</v>
      </c>
      <c r="R34" t="s">
        <v>435</v>
      </c>
      <c r="AH34" t="s">
        <v>497</v>
      </c>
      <c r="AI34" t="s">
        <v>592</v>
      </c>
      <c r="AJ34" t="s">
        <v>618</v>
      </c>
      <c r="AO34" t="s">
        <v>96</v>
      </c>
      <c r="AQ34" t="s">
        <v>371</v>
      </c>
    </row>
    <row r="35" spans="1:43" x14ac:dyDescent="0.25">
      <c r="A35" t="s">
        <v>207</v>
      </c>
      <c r="D35" t="s">
        <v>223</v>
      </c>
      <c r="E35" t="str">
        <f t="shared" si="4"/>
        <v>ventricle_r_vol</v>
      </c>
      <c r="F35" t="str">
        <f t="shared" si="5"/>
        <v>ventricle_r_perc</v>
      </c>
      <c r="J35" t="s">
        <v>296</v>
      </c>
      <c r="K35" t="s">
        <v>297</v>
      </c>
      <c r="O35" t="s">
        <v>436</v>
      </c>
      <c r="P35" t="s">
        <v>437</v>
      </c>
      <c r="Q35" t="s">
        <v>438</v>
      </c>
      <c r="R35" t="s">
        <v>439</v>
      </c>
      <c r="AH35" t="s">
        <v>498</v>
      </c>
      <c r="AI35" t="s">
        <v>592</v>
      </c>
      <c r="AJ35" t="s">
        <v>619</v>
      </c>
      <c r="AO35" t="s">
        <v>97</v>
      </c>
      <c r="AQ35" t="s">
        <v>374</v>
      </c>
    </row>
    <row r="36" spans="1:43" x14ac:dyDescent="0.25">
      <c r="A36" t="s">
        <v>208</v>
      </c>
      <c r="D36" t="s">
        <v>225</v>
      </c>
      <c r="E36" t="str">
        <f t="shared" si="4"/>
        <v>occipital_l_vol</v>
      </c>
      <c r="F36" t="str">
        <f t="shared" si="5"/>
        <v>occipital_l_perc</v>
      </c>
      <c r="J36" t="s">
        <v>298</v>
      </c>
      <c r="K36" t="s">
        <v>299</v>
      </c>
      <c r="O36" t="s">
        <v>440</v>
      </c>
      <c r="P36" t="s">
        <v>441</v>
      </c>
      <c r="Q36" t="s">
        <v>442</v>
      </c>
      <c r="R36" t="s">
        <v>443</v>
      </c>
      <c r="AH36" t="s">
        <v>499</v>
      </c>
      <c r="AI36" t="s">
        <v>592</v>
      </c>
      <c r="AJ36" t="s">
        <v>620</v>
      </c>
      <c r="AO36" t="s">
        <v>98</v>
      </c>
      <c r="AQ36" t="s">
        <v>375</v>
      </c>
    </row>
    <row r="37" spans="1:43" x14ac:dyDescent="0.25">
      <c r="A37" t="s">
        <v>209</v>
      </c>
      <c r="D37" t="s">
        <v>224</v>
      </c>
      <c r="E37" t="str">
        <f t="shared" si="4"/>
        <v>occipital_r_vol</v>
      </c>
      <c r="F37" t="str">
        <f t="shared" si="5"/>
        <v>occipital_r_perc</v>
      </c>
      <c r="J37" t="s">
        <v>300</v>
      </c>
      <c r="K37" t="s">
        <v>301</v>
      </c>
      <c r="O37" t="s">
        <v>444</v>
      </c>
      <c r="P37" t="s">
        <v>445</v>
      </c>
      <c r="Q37" t="s">
        <v>446</v>
      </c>
      <c r="R37" t="s">
        <v>447</v>
      </c>
      <c r="AH37" t="s">
        <v>500</v>
      </c>
      <c r="AI37" t="s">
        <v>592</v>
      </c>
      <c r="AJ37" t="s">
        <v>621</v>
      </c>
      <c r="AO37" t="s">
        <v>99</v>
      </c>
      <c r="AQ37" t="s">
        <v>378</v>
      </c>
    </row>
    <row r="38" spans="1:43" x14ac:dyDescent="0.25">
      <c r="A38" t="s">
        <v>210</v>
      </c>
      <c r="D38" t="s">
        <v>229</v>
      </c>
      <c r="E38" t="str">
        <f t="shared" si="4"/>
        <v>parietal_l_vol</v>
      </c>
      <c r="F38" t="str">
        <f t="shared" si="5"/>
        <v>parietal_l_perc</v>
      </c>
      <c r="J38" t="s">
        <v>302</v>
      </c>
      <c r="K38" t="s">
        <v>303</v>
      </c>
      <c r="O38" t="s">
        <v>448</v>
      </c>
      <c r="P38" t="s">
        <v>449</v>
      </c>
      <c r="Q38" t="s">
        <v>450</v>
      </c>
      <c r="R38" t="s">
        <v>451</v>
      </c>
      <c r="AH38" t="s">
        <v>501</v>
      </c>
      <c r="AI38" t="s">
        <v>592</v>
      </c>
      <c r="AJ38" t="s">
        <v>622</v>
      </c>
      <c r="AO38" t="s">
        <v>101</v>
      </c>
      <c r="AQ38" t="s">
        <v>382</v>
      </c>
    </row>
    <row r="39" spans="1:43" x14ac:dyDescent="0.25">
      <c r="A39" t="s">
        <v>211</v>
      </c>
      <c r="D39" t="s">
        <v>230</v>
      </c>
      <c r="E39" t="str">
        <f t="shared" si="4"/>
        <v>parietal_r_vol</v>
      </c>
      <c r="F39" t="str">
        <f t="shared" si="5"/>
        <v>parietal_r_perc</v>
      </c>
      <c r="J39" t="s">
        <v>304</v>
      </c>
      <c r="K39" t="s">
        <v>305</v>
      </c>
      <c r="O39" t="s">
        <v>452</v>
      </c>
      <c r="P39" t="s">
        <v>453</v>
      </c>
      <c r="Q39" t="s">
        <v>454</v>
      </c>
      <c r="R39" t="s">
        <v>455</v>
      </c>
      <c r="AH39" t="s">
        <v>502</v>
      </c>
      <c r="AI39" t="s">
        <v>592</v>
      </c>
      <c r="AJ39" t="s">
        <v>623</v>
      </c>
      <c r="AO39" t="s">
        <v>103</v>
      </c>
      <c r="AQ39" t="s">
        <v>386</v>
      </c>
    </row>
    <row r="40" spans="1:43" x14ac:dyDescent="0.25">
      <c r="A40" t="s">
        <v>212</v>
      </c>
      <c r="D40" t="s">
        <v>232</v>
      </c>
      <c r="E40" t="str">
        <f t="shared" si="4"/>
        <v>putamen_l_vol</v>
      </c>
      <c r="F40" t="str">
        <f t="shared" si="5"/>
        <v>putamen_l_perc</v>
      </c>
      <c r="J40" t="s">
        <v>306</v>
      </c>
      <c r="K40" t="s">
        <v>307</v>
      </c>
      <c r="O40" t="s">
        <v>456</v>
      </c>
      <c r="P40" t="s">
        <v>457</v>
      </c>
      <c r="Q40" t="s">
        <v>458</v>
      </c>
      <c r="R40" t="s">
        <v>459</v>
      </c>
      <c r="AH40" t="s">
        <v>503</v>
      </c>
      <c r="AI40" t="s">
        <v>592</v>
      </c>
      <c r="AJ40" t="s">
        <v>624</v>
      </c>
      <c r="AO40" t="s">
        <v>105</v>
      </c>
      <c r="AQ40" t="s">
        <v>390</v>
      </c>
    </row>
    <row r="41" spans="1:43" x14ac:dyDescent="0.25">
      <c r="A41" t="s">
        <v>213</v>
      </c>
      <c r="D41" t="s">
        <v>231</v>
      </c>
      <c r="E41" t="str">
        <f t="shared" si="4"/>
        <v>putamen_r_vol</v>
      </c>
      <c r="F41" t="str">
        <f t="shared" si="5"/>
        <v>putamen_r_perc</v>
      </c>
      <c r="J41" t="s">
        <v>308</v>
      </c>
      <c r="K41" t="s">
        <v>309</v>
      </c>
      <c r="O41" t="s">
        <v>460</v>
      </c>
      <c r="P41" t="s">
        <v>461</v>
      </c>
      <c r="Q41" t="s">
        <v>462</v>
      </c>
      <c r="R41" t="s">
        <v>463</v>
      </c>
      <c r="AH41" t="s">
        <v>504</v>
      </c>
      <c r="AI41" t="s">
        <v>592</v>
      </c>
      <c r="AJ41" t="s">
        <v>625</v>
      </c>
      <c r="AO41" t="s">
        <v>107</v>
      </c>
      <c r="AQ41" t="s">
        <v>394</v>
      </c>
    </row>
    <row r="42" spans="1:43" x14ac:dyDescent="0.25">
      <c r="A42" t="s">
        <v>214</v>
      </c>
      <c r="D42" t="s">
        <v>233</v>
      </c>
      <c r="E42" t="str">
        <f t="shared" si="4"/>
        <v>temporal_l_vol</v>
      </c>
      <c r="F42" t="str">
        <f t="shared" si="5"/>
        <v>temporal_l_perc</v>
      </c>
      <c r="J42" t="s">
        <v>310</v>
      </c>
      <c r="K42" t="s">
        <v>311</v>
      </c>
      <c r="O42" t="s">
        <v>464</v>
      </c>
      <c r="P42" t="s">
        <v>465</v>
      </c>
      <c r="Q42" t="s">
        <v>466</v>
      </c>
      <c r="R42" t="s">
        <v>467</v>
      </c>
      <c r="AH42" t="s">
        <v>505</v>
      </c>
      <c r="AI42" t="s">
        <v>592</v>
      </c>
      <c r="AJ42" t="s">
        <v>626</v>
      </c>
      <c r="AO42" t="s">
        <v>17</v>
      </c>
      <c r="AQ42" t="s">
        <v>364</v>
      </c>
    </row>
    <row r="43" spans="1:43" x14ac:dyDescent="0.25">
      <c r="A43" t="s">
        <v>215</v>
      </c>
      <c r="D43" t="s">
        <v>234</v>
      </c>
      <c r="E43" t="str">
        <f t="shared" si="4"/>
        <v>temporal_r_vol</v>
      </c>
      <c r="F43" t="str">
        <f t="shared" si="5"/>
        <v>temporal_r_perc</v>
      </c>
      <c r="J43" t="s">
        <v>312</v>
      </c>
      <c r="K43" t="s">
        <v>313</v>
      </c>
      <c r="O43" t="s">
        <v>468</v>
      </c>
      <c r="P43" t="s">
        <v>469</v>
      </c>
      <c r="Q43" t="s">
        <v>470</v>
      </c>
      <c r="R43" t="s">
        <v>471</v>
      </c>
      <c r="AH43" t="s">
        <v>506</v>
      </c>
      <c r="AI43" t="s">
        <v>592</v>
      </c>
      <c r="AJ43" t="s">
        <v>627</v>
      </c>
      <c r="AO43" t="s">
        <v>18</v>
      </c>
      <c r="AQ43" t="s">
        <v>365</v>
      </c>
    </row>
    <row r="44" spans="1:43" x14ac:dyDescent="0.25">
      <c r="AH44" t="s">
        <v>507</v>
      </c>
      <c r="AI44" t="s">
        <v>592</v>
      </c>
      <c r="AJ44" t="s">
        <v>628</v>
      </c>
      <c r="AO44" t="s">
        <v>19</v>
      </c>
      <c r="AQ44" t="s">
        <v>368</v>
      </c>
    </row>
    <row r="45" spans="1:43" x14ac:dyDescent="0.25">
      <c r="AH45" t="s">
        <v>508</v>
      </c>
      <c r="AI45" t="s">
        <v>592</v>
      </c>
      <c r="AJ45" t="s">
        <v>629</v>
      </c>
      <c r="AO45" t="s">
        <v>20</v>
      </c>
      <c r="AQ45" t="s">
        <v>369</v>
      </c>
    </row>
    <row r="46" spans="1:43" x14ac:dyDescent="0.25">
      <c r="AH46" t="s">
        <v>509</v>
      </c>
      <c r="AI46" t="s">
        <v>592</v>
      </c>
      <c r="AJ46" t="s">
        <v>630</v>
      </c>
      <c r="AO46" t="s">
        <v>21</v>
      </c>
      <c r="AQ46" t="s">
        <v>372</v>
      </c>
    </row>
    <row r="47" spans="1:43" x14ac:dyDescent="0.25">
      <c r="AH47" t="s">
        <v>510</v>
      </c>
      <c r="AI47" t="s">
        <v>592</v>
      </c>
      <c r="AJ47" t="s">
        <v>631</v>
      </c>
      <c r="AO47" t="s">
        <v>22</v>
      </c>
      <c r="AQ47" t="s">
        <v>373</v>
      </c>
    </row>
    <row r="48" spans="1:43" x14ac:dyDescent="0.25">
      <c r="AH48" t="s">
        <v>511</v>
      </c>
      <c r="AI48" t="s">
        <v>592</v>
      </c>
      <c r="AJ48" t="s">
        <v>632</v>
      </c>
      <c r="AO48" t="s">
        <v>23</v>
      </c>
      <c r="AQ48" t="s">
        <v>376</v>
      </c>
    </row>
    <row r="49" spans="34:43" x14ac:dyDescent="0.25">
      <c r="AH49" t="s">
        <v>512</v>
      </c>
      <c r="AI49" t="s">
        <v>592</v>
      </c>
      <c r="AJ49" t="s">
        <v>633</v>
      </c>
      <c r="AO49" t="s">
        <v>24</v>
      </c>
      <c r="AQ49" t="s">
        <v>377</v>
      </c>
    </row>
    <row r="50" spans="34:43" x14ac:dyDescent="0.25">
      <c r="AH50" t="s">
        <v>513</v>
      </c>
      <c r="AI50" t="s">
        <v>592</v>
      </c>
      <c r="AJ50" t="s">
        <v>634</v>
      </c>
      <c r="AO50" t="s">
        <v>25</v>
      </c>
      <c r="AQ50" t="s">
        <v>380</v>
      </c>
    </row>
    <row r="51" spans="34:43" x14ac:dyDescent="0.25">
      <c r="AH51" t="s">
        <v>514</v>
      </c>
      <c r="AI51" t="s">
        <v>592</v>
      </c>
      <c r="AJ51" t="s">
        <v>635</v>
      </c>
      <c r="AO51" t="s">
        <v>27</v>
      </c>
      <c r="AQ51" t="s">
        <v>384</v>
      </c>
    </row>
    <row r="52" spans="34:43" x14ac:dyDescent="0.25">
      <c r="AH52" t="s">
        <v>515</v>
      </c>
      <c r="AI52" t="s">
        <v>592</v>
      </c>
      <c r="AJ52" t="s">
        <v>636</v>
      </c>
      <c r="AO52" t="s">
        <v>29</v>
      </c>
      <c r="AQ52" t="s">
        <v>388</v>
      </c>
    </row>
    <row r="53" spans="34:43" x14ac:dyDescent="0.25">
      <c r="AH53" t="s">
        <v>516</v>
      </c>
      <c r="AI53" t="s">
        <v>592</v>
      </c>
      <c r="AJ53" t="s">
        <v>637</v>
      </c>
      <c r="AO53" t="s">
        <v>31</v>
      </c>
      <c r="AQ53" t="s">
        <v>392</v>
      </c>
    </row>
    <row r="54" spans="34:43" x14ac:dyDescent="0.25">
      <c r="AH54" t="s">
        <v>517</v>
      </c>
      <c r="AI54" t="s">
        <v>592</v>
      </c>
      <c r="AJ54" t="s">
        <v>638</v>
      </c>
      <c r="AO54" t="s">
        <v>33</v>
      </c>
      <c r="AQ54" t="s">
        <v>396</v>
      </c>
    </row>
    <row r="55" spans="34:43" x14ac:dyDescent="0.25">
      <c r="AH55" t="s">
        <v>518</v>
      </c>
      <c r="AI55" t="s">
        <v>592</v>
      </c>
      <c r="AJ55" t="s">
        <v>639</v>
      </c>
      <c r="AO55" t="s">
        <v>109</v>
      </c>
      <c r="AQ55" t="s">
        <v>398</v>
      </c>
    </row>
    <row r="56" spans="34:43" x14ac:dyDescent="0.25">
      <c r="AH56" t="s">
        <v>519</v>
      </c>
      <c r="AI56" t="s">
        <v>592</v>
      </c>
      <c r="AJ56" t="s">
        <v>640</v>
      </c>
      <c r="AO56" t="s">
        <v>111</v>
      </c>
      <c r="AQ56" t="s">
        <v>400</v>
      </c>
    </row>
    <row r="57" spans="34:43" x14ac:dyDescent="0.25">
      <c r="AH57" t="s">
        <v>520</v>
      </c>
      <c r="AI57" t="s">
        <v>592</v>
      </c>
      <c r="AJ57" t="s">
        <v>641</v>
      </c>
      <c r="AO57" t="s">
        <v>112</v>
      </c>
      <c r="AQ57" t="s">
        <v>401</v>
      </c>
    </row>
    <row r="58" spans="34:43" x14ac:dyDescent="0.25">
      <c r="AH58" t="s">
        <v>521</v>
      </c>
      <c r="AI58" t="s">
        <v>592</v>
      </c>
      <c r="AJ58" t="s">
        <v>642</v>
      </c>
      <c r="AO58" t="s">
        <v>113</v>
      </c>
      <c r="AQ58" t="s">
        <v>404</v>
      </c>
    </row>
    <row r="59" spans="34:43" x14ac:dyDescent="0.25">
      <c r="AH59" t="s">
        <v>522</v>
      </c>
      <c r="AI59" t="s">
        <v>592</v>
      </c>
      <c r="AJ59" t="s">
        <v>643</v>
      </c>
      <c r="AO59" t="s">
        <v>114</v>
      </c>
      <c r="AQ59" t="s">
        <v>405</v>
      </c>
    </row>
    <row r="60" spans="34:43" x14ac:dyDescent="0.25">
      <c r="AH60" t="s">
        <v>523</v>
      </c>
      <c r="AI60" t="s">
        <v>592</v>
      </c>
      <c r="AJ60" t="s">
        <v>644</v>
      </c>
      <c r="AO60" t="s">
        <v>115</v>
      </c>
      <c r="AQ60" t="s">
        <v>408</v>
      </c>
    </row>
    <row r="61" spans="34:43" x14ac:dyDescent="0.25">
      <c r="AH61" t="s">
        <v>524</v>
      </c>
      <c r="AI61" t="s">
        <v>592</v>
      </c>
      <c r="AJ61" t="s">
        <v>645</v>
      </c>
      <c r="AO61" t="s">
        <v>116</v>
      </c>
      <c r="AQ61" t="s">
        <v>409</v>
      </c>
    </row>
    <row r="62" spans="34:43" x14ac:dyDescent="0.25">
      <c r="AH62" t="s">
        <v>525</v>
      </c>
      <c r="AI62" t="s">
        <v>592</v>
      </c>
      <c r="AJ62" t="s">
        <v>646</v>
      </c>
      <c r="AO62" t="s">
        <v>117</v>
      </c>
      <c r="AQ62" t="s">
        <v>412</v>
      </c>
    </row>
    <row r="63" spans="34:43" x14ac:dyDescent="0.25">
      <c r="AH63" t="s">
        <v>526</v>
      </c>
      <c r="AI63" t="s">
        <v>592</v>
      </c>
      <c r="AJ63" t="s">
        <v>647</v>
      </c>
      <c r="AO63" t="s">
        <v>118</v>
      </c>
      <c r="AQ63" t="s">
        <v>413</v>
      </c>
    </row>
    <row r="64" spans="34:43" x14ac:dyDescent="0.25">
      <c r="AH64" t="s">
        <v>527</v>
      </c>
      <c r="AI64" t="s">
        <v>592</v>
      </c>
      <c r="AJ64" t="s">
        <v>648</v>
      </c>
      <c r="AO64" t="s">
        <v>119</v>
      </c>
      <c r="AQ64" t="s">
        <v>416</v>
      </c>
    </row>
    <row r="65" spans="34:43" x14ac:dyDescent="0.25">
      <c r="AH65" t="s">
        <v>528</v>
      </c>
      <c r="AI65" t="s">
        <v>592</v>
      </c>
      <c r="AJ65" t="s">
        <v>649</v>
      </c>
      <c r="AO65" t="s">
        <v>120</v>
      </c>
      <c r="AQ65" t="s">
        <v>417</v>
      </c>
    </row>
    <row r="66" spans="34:43" x14ac:dyDescent="0.25">
      <c r="AH66" t="s">
        <v>529</v>
      </c>
      <c r="AI66" t="s">
        <v>592</v>
      </c>
      <c r="AJ66" t="s">
        <v>650</v>
      </c>
      <c r="AO66" t="s">
        <v>121</v>
      </c>
      <c r="AQ66" t="s">
        <v>420</v>
      </c>
    </row>
    <row r="67" spans="34:43" x14ac:dyDescent="0.25">
      <c r="AH67" t="s">
        <v>530</v>
      </c>
      <c r="AI67" t="s">
        <v>592</v>
      </c>
      <c r="AJ67" t="s">
        <v>651</v>
      </c>
      <c r="AO67" t="s">
        <v>122</v>
      </c>
      <c r="AQ67" t="s">
        <v>421</v>
      </c>
    </row>
    <row r="68" spans="34:43" x14ac:dyDescent="0.25">
      <c r="AH68" t="s">
        <v>531</v>
      </c>
      <c r="AI68" t="s">
        <v>592</v>
      </c>
      <c r="AJ68" t="s">
        <v>652</v>
      </c>
      <c r="AO68" t="s">
        <v>123</v>
      </c>
      <c r="AQ68" t="s">
        <v>424</v>
      </c>
    </row>
    <row r="69" spans="34:43" x14ac:dyDescent="0.25">
      <c r="AH69" t="s">
        <v>532</v>
      </c>
      <c r="AI69" t="s">
        <v>592</v>
      </c>
      <c r="AJ69" t="s">
        <v>653</v>
      </c>
      <c r="AO69" t="s">
        <v>124</v>
      </c>
      <c r="AQ69" t="s">
        <v>425</v>
      </c>
    </row>
    <row r="70" spans="34:43" x14ac:dyDescent="0.25">
      <c r="AH70" t="s">
        <v>533</v>
      </c>
      <c r="AI70" t="s">
        <v>592</v>
      </c>
      <c r="AJ70" t="s">
        <v>654</v>
      </c>
      <c r="AO70" t="s">
        <v>125</v>
      </c>
      <c r="AQ70" t="s">
        <v>428</v>
      </c>
    </row>
    <row r="71" spans="34:43" x14ac:dyDescent="0.25">
      <c r="AH71" t="s">
        <v>534</v>
      </c>
      <c r="AI71" t="s">
        <v>592</v>
      </c>
      <c r="AJ71" t="s">
        <v>655</v>
      </c>
      <c r="AO71" t="s">
        <v>126</v>
      </c>
      <c r="AQ71" t="s">
        <v>429</v>
      </c>
    </row>
    <row r="72" spans="34:43" x14ac:dyDescent="0.25">
      <c r="AH72" t="s">
        <v>535</v>
      </c>
      <c r="AI72" t="s">
        <v>592</v>
      </c>
      <c r="AJ72" t="s">
        <v>656</v>
      </c>
      <c r="AO72" t="s">
        <v>127</v>
      </c>
      <c r="AQ72" t="s">
        <v>432</v>
      </c>
    </row>
    <row r="73" spans="34:43" x14ac:dyDescent="0.25">
      <c r="AH73" t="s">
        <v>536</v>
      </c>
      <c r="AI73" t="s">
        <v>592</v>
      </c>
      <c r="AJ73" t="s">
        <v>657</v>
      </c>
      <c r="AO73" t="s">
        <v>128</v>
      </c>
      <c r="AQ73" t="s">
        <v>433</v>
      </c>
    </row>
    <row r="74" spans="34:43" x14ac:dyDescent="0.25">
      <c r="AH74" t="s">
        <v>537</v>
      </c>
      <c r="AI74" t="s">
        <v>592</v>
      </c>
      <c r="AJ74" t="s">
        <v>658</v>
      </c>
      <c r="AO74" t="s">
        <v>129</v>
      </c>
      <c r="AQ74" t="s">
        <v>436</v>
      </c>
    </row>
    <row r="75" spans="34:43" x14ac:dyDescent="0.25">
      <c r="AH75" t="s">
        <v>538</v>
      </c>
      <c r="AI75" t="s">
        <v>592</v>
      </c>
      <c r="AJ75" t="s">
        <v>659</v>
      </c>
      <c r="AO75" t="s">
        <v>130</v>
      </c>
      <c r="AQ75" t="s">
        <v>437</v>
      </c>
    </row>
    <row r="76" spans="34:43" x14ac:dyDescent="0.25">
      <c r="AH76" t="s">
        <v>539</v>
      </c>
      <c r="AI76" t="s">
        <v>592</v>
      </c>
      <c r="AJ76" t="s">
        <v>660</v>
      </c>
      <c r="AO76" t="s">
        <v>131</v>
      </c>
      <c r="AQ76" t="s">
        <v>440</v>
      </c>
    </row>
    <row r="77" spans="34:43" x14ac:dyDescent="0.25">
      <c r="AH77" t="s">
        <v>540</v>
      </c>
      <c r="AI77" t="s">
        <v>592</v>
      </c>
      <c r="AJ77" t="s">
        <v>661</v>
      </c>
      <c r="AO77" t="s">
        <v>132</v>
      </c>
      <c r="AQ77" t="s">
        <v>441</v>
      </c>
    </row>
    <row r="78" spans="34:43" x14ac:dyDescent="0.25">
      <c r="AH78" t="s">
        <v>541</v>
      </c>
      <c r="AI78" t="s">
        <v>592</v>
      </c>
      <c r="AJ78" t="s">
        <v>662</v>
      </c>
      <c r="AO78" t="s">
        <v>133</v>
      </c>
      <c r="AQ78" t="s">
        <v>444</v>
      </c>
    </row>
    <row r="79" spans="34:43" x14ac:dyDescent="0.25">
      <c r="AH79" t="s">
        <v>542</v>
      </c>
      <c r="AI79" t="s">
        <v>592</v>
      </c>
      <c r="AJ79" t="s">
        <v>663</v>
      </c>
      <c r="AO79" t="s">
        <v>134</v>
      </c>
      <c r="AQ79" t="s">
        <v>445</v>
      </c>
    </row>
    <row r="80" spans="34:43" x14ac:dyDescent="0.25">
      <c r="AH80" t="s">
        <v>543</v>
      </c>
      <c r="AI80" t="s">
        <v>592</v>
      </c>
      <c r="AJ80" t="s">
        <v>664</v>
      </c>
      <c r="AO80" t="s">
        <v>135</v>
      </c>
      <c r="AQ80" t="s">
        <v>448</v>
      </c>
    </row>
    <row r="81" spans="34:43" x14ac:dyDescent="0.25">
      <c r="AH81" t="s">
        <v>544</v>
      </c>
      <c r="AI81" t="s">
        <v>592</v>
      </c>
      <c r="AJ81" t="s">
        <v>665</v>
      </c>
      <c r="AO81" t="s">
        <v>136</v>
      </c>
      <c r="AQ81" t="s">
        <v>449</v>
      </c>
    </row>
    <row r="82" spans="34:43" x14ac:dyDescent="0.25">
      <c r="AH82" t="s">
        <v>545</v>
      </c>
      <c r="AI82" t="s">
        <v>592</v>
      </c>
      <c r="AJ82" t="s">
        <v>666</v>
      </c>
      <c r="AO82" t="s">
        <v>137</v>
      </c>
      <c r="AQ82" t="s">
        <v>452</v>
      </c>
    </row>
    <row r="83" spans="34:43" x14ac:dyDescent="0.25">
      <c r="AH83" t="s">
        <v>546</v>
      </c>
      <c r="AI83" t="s">
        <v>592</v>
      </c>
      <c r="AJ83" t="s">
        <v>667</v>
      </c>
      <c r="AO83" t="s">
        <v>138</v>
      </c>
      <c r="AQ83" t="s">
        <v>453</v>
      </c>
    </row>
    <row r="84" spans="34:43" x14ac:dyDescent="0.25">
      <c r="AH84" t="s">
        <v>547</v>
      </c>
      <c r="AI84" t="s">
        <v>592</v>
      </c>
      <c r="AJ84" t="s">
        <v>668</v>
      </c>
      <c r="AO84" t="s">
        <v>139</v>
      </c>
      <c r="AQ84" t="s">
        <v>456</v>
      </c>
    </row>
    <row r="85" spans="34:43" x14ac:dyDescent="0.25">
      <c r="AH85" t="s">
        <v>548</v>
      </c>
      <c r="AI85" t="s">
        <v>592</v>
      </c>
      <c r="AJ85" t="s">
        <v>669</v>
      </c>
      <c r="AO85" t="s">
        <v>140</v>
      </c>
      <c r="AQ85" t="s">
        <v>457</v>
      </c>
    </row>
    <row r="86" spans="34:43" x14ac:dyDescent="0.25">
      <c r="AH86" t="s">
        <v>549</v>
      </c>
      <c r="AI86" t="s">
        <v>592</v>
      </c>
      <c r="AJ86" t="s">
        <v>670</v>
      </c>
      <c r="AO86" t="s">
        <v>141</v>
      </c>
      <c r="AQ86" t="s">
        <v>460</v>
      </c>
    </row>
    <row r="87" spans="34:43" x14ac:dyDescent="0.25">
      <c r="AH87" t="s">
        <v>550</v>
      </c>
      <c r="AI87" t="s">
        <v>592</v>
      </c>
      <c r="AJ87" t="s">
        <v>671</v>
      </c>
      <c r="AO87" t="s">
        <v>142</v>
      </c>
      <c r="AQ87" t="s">
        <v>461</v>
      </c>
    </row>
    <row r="88" spans="34:43" x14ac:dyDescent="0.25">
      <c r="AH88" t="s">
        <v>551</v>
      </c>
      <c r="AI88" t="s">
        <v>592</v>
      </c>
      <c r="AJ88" t="s">
        <v>672</v>
      </c>
      <c r="AO88" t="s">
        <v>143</v>
      </c>
      <c r="AQ88" t="s">
        <v>464</v>
      </c>
    </row>
    <row r="89" spans="34:43" x14ac:dyDescent="0.25">
      <c r="AH89" t="s">
        <v>552</v>
      </c>
      <c r="AI89" t="s">
        <v>592</v>
      </c>
      <c r="AJ89" t="s">
        <v>673</v>
      </c>
      <c r="AO89" t="s">
        <v>144</v>
      </c>
      <c r="AQ89" t="s">
        <v>465</v>
      </c>
    </row>
    <row r="90" spans="34:43" x14ac:dyDescent="0.25">
      <c r="AH90" t="s">
        <v>553</v>
      </c>
      <c r="AI90" t="s">
        <v>592</v>
      </c>
      <c r="AJ90" t="s">
        <v>674</v>
      </c>
      <c r="AO90" t="s">
        <v>145</v>
      </c>
      <c r="AQ90" t="s">
        <v>468</v>
      </c>
    </row>
    <row r="91" spans="34:43" x14ac:dyDescent="0.25">
      <c r="AH91" t="s">
        <v>554</v>
      </c>
      <c r="AI91" t="s">
        <v>592</v>
      </c>
      <c r="AJ91" t="s">
        <v>675</v>
      </c>
      <c r="AO91" t="s">
        <v>146</v>
      </c>
      <c r="AQ91" t="s">
        <v>469</v>
      </c>
    </row>
    <row r="92" spans="34:43" x14ac:dyDescent="0.25">
      <c r="AH92" t="s">
        <v>555</v>
      </c>
      <c r="AI92" t="s">
        <v>592</v>
      </c>
      <c r="AJ92" t="s">
        <v>676</v>
      </c>
      <c r="AO92" t="s">
        <v>35</v>
      </c>
      <c r="AQ92" t="s">
        <v>399</v>
      </c>
    </row>
    <row r="93" spans="34:43" x14ac:dyDescent="0.25">
      <c r="AH93" t="s">
        <v>556</v>
      </c>
      <c r="AI93" t="s">
        <v>592</v>
      </c>
      <c r="AJ93" t="s">
        <v>677</v>
      </c>
      <c r="AO93" t="s">
        <v>37</v>
      </c>
      <c r="AQ93" t="s">
        <v>402</v>
      </c>
    </row>
    <row r="94" spans="34:43" x14ac:dyDescent="0.25">
      <c r="AH94" t="s">
        <v>557</v>
      </c>
      <c r="AI94" t="s">
        <v>592</v>
      </c>
      <c r="AJ94" t="s">
        <v>678</v>
      </c>
      <c r="AO94" t="s">
        <v>38</v>
      </c>
      <c r="AQ94" t="s">
        <v>403</v>
      </c>
    </row>
    <row r="95" spans="34:43" x14ac:dyDescent="0.25">
      <c r="AH95" t="s">
        <v>558</v>
      </c>
      <c r="AI95" t="s">
        <v>592</v>
      </c>
      <c r="AJ95" t="s">
        <v>679</v>
      </c>
      <c r="AO95" t="s">
        <v>39</v>
      </c>
      <c r="AQ95" t="s">
        <v>406</v>
      </c>
    </row>
    <row r="96" spans="34:43" x14ac:dyDescent="0.25">
      <c r="AH96" t="s">
        <v>559</v>
      </c>
      <c r="AI96" t="s">
        <v>592</v>
      </c>
      <c r="AJ96" t="s">
        <v>680</v>
      </c>
      <c r="AO96" t="s">
        <v>40</v>
      </c>
      <c r="AQ96" t="s">
        <v>407</v>
      </c>
    </row>
    <row r="97" spans="34:43" x14ac:dyDescent="0.25">
      <c r="AH97" t="s">
        <v>560</v>
      </c>
      <c r="AI97" t="s">
        <v>592</v>
      </c>
      <c r="AJ97" t="s">
        <v>681</v>
      </c>
      <c r="AO97" t="s">
        <v>42</v>
      </c>
      <c r="AQ97" t="s">
        <v>410</v>
      </c>
    </row>
    <row r="98" spans="34:43" x14ac:dyDescent="0.25">
      <c r="AH98" t="s">
        <v>561</v>
      </c>
      <c r="AI98" t="s">
        <v>592</v>
      </c>
      <c r="AJ98" t="s">
        <v>682</v>
      </c>
      <c r="AO98" t="s">
        <v>43</v>
      </c>
      <c r="AQ98" t="s">
        <v>411</v>
      </c>
    </row>
    <row r="99" spans="34:43" x14ac:dyDescent="0.25">
      <c r="AH99" t="s">
        <v>562</v>
      </c>
      <c r="AI99" t="s">
        <v>592</v>
      </c>
      <c r="AJ99" t="s">
        <v>683</v>
      </c>
      <c r="AO99" t="s">
        <v>44</v>
      </c>
      <c r="AQ99" t="s">
        <v>414</v>
      </c>
    </row>
    <row r="100" spans="34:43" x14ac:dyDescent="0.25">
      <c r="AH100" t="s">
        <v>563</v>
      </c>
      <c r="AI100" t="s">
        <v>592</v>
      </c>
      <c r="AJ100" t="s">
        <v>684</v>
      </c>
      <c r="AO100" t="s">
        <v>45</v>
      </c>
      <c r="AQ100" t="s">
        <v>415</v>
      </c>
    </row>
    <row r="101" spans="34:43" x14ac:dyDescent="0.25">
      <c r="AH101" t="s">
        <v>564</v>
      </c>
      <c r="AI101" t="s">
        <v>592</v>
      </c>
      <c r="AJ101" t="s">
        <v>685</v>
      </c>
      <c r="AO101" t="s">
        <v>46</v>
      </c>
      <c r="AQ101" t="s">
        <v>418</v>
      </c>
    </row>
    <row r="102" spans="34:43" x14ac:dyDescent="0.25">
      <c r="AH102" t="s">
        <v>565</v>
      </c>
      <c r="AI102" t="s">
        <v>592</v>
      </c>
      <c r="AJ102" t="s">
        <v>686</v>
      </c>
      <c r="AO102" t="s">
        <v>47</v>
      </c>
      <c r="AQ102" t="s">
        <v>419</v>
      </c>
    </row>
    <row r="103" spans="34:43" x14ac:dyDescent="0.25">
      <c r="AH103" t="s">
        <v>566</v>
      </c>
      <c r="AI103" t="s">
        <v>592</v>
      </c>
      <c r="AJ103" t="s">
        <v>687</v>
      </c>
      <c r="AO103" t="s">
        <v>48</v>
      </c>
      <c r="AQ103" t="s">
        <v>422</v>
      </c>
    </row>
    <row r="104" spans="34:43" x14ac:dyDescent="0.25">
      <c r="AH104" t="s">
        <v>567</v>
      </c>
      <c r="AI104" t="s">
        <v>592</v>
      </c>
      <c r="AJ104" t="s">
        <v>688</v>
      </c>
      <c r="AO104" t="s">
        <v>49</v>
      </c>
      <c r="AQ104" t="s">
        <v>423</v>
      </c>
    </row>
    <row r="105" spans="34:43" x14ac:dyDescent="0.25">
      <c r="AH105" t="s">
        <v>568</v>
      </c>
      <c r="AI105" t="s">
        <v>592</v>
      </c>
      <c r="AJ105" t="s">
        <v>689</v>
      </c>
      <c r="AO105" t="s">
        <v>50</v>
      </c>
      <c r="AQ105" t="s">
        <v>426</v>
      </c>
    </row>
    <row r="106" spans="34:43" x14ac:dyDescent="0.25">
      <c r="AH106" t="s">
        <v>569</v>
      </c>
      <c r="AI106" t="s">
        <v>592</v>
      </c>
      <c r="AJ106" t="s">
        <v>690</v>
      </c>
      <c r="AO106" t="s">
        <v>51</v>
      </c>
      <c r="AQ106" t="s">
        <v>427</v>
      </c>
    </row>
    <row r="107" spans="34:43" x14ac:dyDescent="0.25">
      <c r="AH107" t="s">
        <v>570</v>
      </c>
      <c r="AI107" t="s">
        <v>592</v>
      </c>
      <c r="AJ107" t="s">
        <v>691</v>
      </c>
      <c r="AO107" t="s">
        <v>52</v>
      </c>
      <c r="AQ107" t="s">
        <v>430</v>
      </c>
    </row>
    <row r="108" spans="34:43" x14ac:dyDescent="0.25">
      <c r="AH108" t="s">
        <v>571</v>
      </c>
      <c r="AI108" t="s">
        <v>592</v>
      </c>
      <c r="AJ108" t="s">
        <v>692</v>
      </c>
      <c r="AO108" t="s">
        <v>53</v>
      </c>
      <c r="AQ108" t="s">
        <v>431</v>
      </c>
    </row>
    <row r="109" spans="34:43" x14ac:dyDescent="0.25">
      <c r="AH109" t="s">
        <v>572</v>
      </c>
      <c r="AI109" t="s">
        <v>592</v>
      </c>
      <c r="AJ109" t="s">
        <v>693</v>
      </c>
      <c r="AO109" t="s">
        <v>54</v>
      </c>
      <c r="AQ109" t="s">
        <v>434</v>
      </c>
    </row>
    <row r="110" spans="34:43" x14ac:dyDescent="0.25">
      <c r="AH110" t="s">
        <v>573</v>
      </c>
      <c r="AI110" t="s">
        <v>592</v>
      </c>
      <c r="AJ110" t="s">
        <v>694</v>
      </c>
      <c r="AO110" t="s">
        <v>55</v>
      </c>
      <c r="AQ110" t="s">
        <v>435</v>
      </c>
    </row>
    <row r="111" spans="34:43" x14ac:dyDescent="0.25">
      <c r="AH111" t="s">
        <v>574</v>
      </c>
      <c r="AI111" t="s">
        <v>592</v>
      </c>
      <c r="AJ111" t="s">
        <v>695</v>
      </c>
      <c r="AO111" t="s">
        <v>56</v>
      </c>
      <c r="AQ111" t="s">
        <v>438</v>
      </c>
    </row>
    <row r="112" spans="34:43" x14ac:dyDescent="0.25">
      <c r="AH112" t="s">
        <v>575</v>
      </c>
      <c r="AI112" t="s">
        <v>592</v>
      </c>
      <c r="AJ112" t="s">
        <v>696</v>
      </c>
      <c r="AO112" t="s">
        <v>57</v>
      </c>
      <c r="AQ112" t="s">
        <v>439</v>
      </c>
    </row>
    <row r="113" spans="34:43" x14ac:dyDescent="0.25">
      <c r="AH113" t="s">
        <v>576</v>
      </c>
      <c r="AI113" t="s">
        <v>592</v>
      </c>
      <c r="AJ113" t="s">
        <v>697</v>
      </c>
      <c r="AO113" t="s">
        <v>58</v>
      </c>
      <c r="AQ113" t="s">
        <v>442</v>
      </c>
    </row>
    <row r="114" spans="34:43" x14ac:dyDescent="0.25">
      <c r="AH114" t="s">
        <v>577</v>
      </c>
      <c r="AI114" t="s">
        <v>592</v>
      </c>
      <c r="AJ114" t="s">
        <v>698</v>
      </c>
      <c r="AO114" t="s">
        <v>59</v>
      </c>
      <c r="AQ114" t="s">
        <v>443</v>
      </c>
    </row>
    <row r="115" spans="34:43" x14ac:dyDescent="0.25">
      <c r="AH115" t="s">
        <v>578</v>
      </c>
      <c r="AI115" t="s">
        <v>592</v>
      </c>
      <c r="AJ115" t="s">
        <v>699</v>
      </c>
      <c r="AO115" t="s">
        <v>60</v>
      </c>
      <c r="AQ115" t="s">
        <v>446</v>
      </c>
    </row>
    <row r="116" spans="34:43" x14ac:dyDescent="0.25">
      <c r="AH116" t="s">
        <v>579</v>
      </c>
      <c r="AI116" t="s">
        <v>592</v>
      </c>
      <c r="AJ116" t="s">
        <v>700</v>
      </c>
      <c r="AO116" t="s">
        <v>61</v>
      </c>
      <c r="AQ116" t="s">
        <v>447</v>
      </c>
    </row>
    <row r="117" spans="34:43" x14ac:dyDescent="0.25">
      <c r="AH117" t="s">
        <v>580</v>
      </c>
      <c r="AI117" t="s">
        <v>592</v>
      </c>
      <c r="AJ117" t="s">
        <v>701</v>
      </c>
      <c r="AO117" t="s">
        <v>62</v>
      </c>
      <c r="AQ117" t="s">
        <v>450</v>
      </c>
    </row>
    <row r="118" spans="34:43" x14ac:dyDescent="0.25">
      <c r="AH118" t="s">
        <v>581</v>
      </c>
      <c r="AI118" t="s">
        <v>592</v>
      </c>
      <c r="AJ118" t="s">
        <v>702</v>
      </c>
      <c r="AO118" t="s">
        <v>63</v>
      </c>
      <c r="AQ118" t="s">
        <v>451</v>
      </c>
    </row>
    <row r="119" spans="34:43" x14ac:dyDescent="0.25">
      <c r="AH119" t="s">
        <v>582</v>
      </c>
      <c r="AI119" t="s">
        <v>592</v>
      </c>
      <c r="AJ119" t="s">
        <v>703</v>
      </c>
      <c r="AO119" t="s">
        <v>64</v>
      </c>
      <c r="AQ119" t="s">
        <v>454</v>
      </c>
    </row>
    <row r="120" spans="34:43" x14ac:dyDescent="0.25">
      <c r="AH120" t="s">
        <v>583</v>
      </c>
      <c r="AI120" t="s">
        <v>592</v>
      </c>
      <c r="AJ120" t="s">
        <v>704</v>
      </c>
      <c r="AO120" t="s">
        <v>65</v>
      </c>
      <c r="AQ120" t="s">
        <v>455</v>
      </c>
    </row>
    <row r="121" spans="34:43" x14ac:dyDescent="0.25">
      <c r="AH121" t="s">
        <v>584</v>
      </c>
      <c r="AI121" t="s">
        <v>592</v>
      </c>
      <c r="AJ121" t="s">
        <v>705</v>
      </c>
      <c r="AO121" t="s">
        <v>66</v>
      </c>
      <c r="AQ121" t="s">
        <v>458</v>
      </c>
    </row>
    <row r="122" spans="34:43" x14ac:dyDescent="0.25">
      <c r="AH122" t="s">
        <v>585</v>
      </c>
      <c r="AI122" t="s">
        <v>592</v>
      </c>
      <c r="AJ122" t="s">
        <v>706</v>
      </c>
      <c r="AO122" t="s">
        <v>67</v>
      </c>
      <c r="AQ122" t="s">
        <v>459</v>
      </c>
    </row>
    <row r="123" spans="34:43" x14ac:dyDescent="0.25">
      <c r="AH123" t="s">
        <v>586</v>
      </c>
      <c r="AI123" t="s">
        <v>592</v>
      </c>
      <c r="AJ123" t="s">
        <v>707</v>
      </c>
      <c r="AO123" t="s">
        <v>68</v>
      </c>
      <c r="AQ123" t="s">
        <v>462</v>
      </c>
    </row>
    <row r="124" spans="34:43" x14ac:dyDescent="0.25">
      <c r="AH124" t="s">
        <v>587</v>
      </c>
      <c r="AI124" t="s">
        <v>592</v>
      </c>
      <c r="AJ124" t="s">
        <v>708</v>
      </c>
      <c r="AO124" t="s">
        <v>69</v>
      </c>
      <c r="AQ124" t="s">
        <v>463</v>
      </c>
    </row>
    <row r="125" spans="34:43" x14ac:dyDescent="0.25">
      <c r="AH125" t="s">
        <v>588</v>
      </c>
      <c r="AI125" t="s">
        <v>592</v>
      </c>
      <c r="AJ125" t="s">
        <v>709</v>
      </c>
      <c r="AO125" t="s">
        <v>70</v>
      </c>
      <c r="AQ125" t="s">
        <v>466</v>
      </c>
    </row>
    <row r="126" spans="34:43" x14ac:dyDescent="0.25">
      <c r="AH126" t="s">
        <v>589</v>
      </c>
      <c r="AI126" t="s">
        <v>592</v>
      </c>
      <c r="AJ126" t="s">
        <v>710</v>
      </c>
      <c r="AO126" t="s">
        <v>71</v>
      </c>
      <c r="AQ126" t="s">
        <v>467</v>
      </c>
    </row>
    <row r="127" spans="34:43" x14ac:dyDescent="0.25">
      <c r="AH127" t="s">
        <v>590</v>
      </c>
      <c r="AI127" t="s">
        <v>592</v>
      </c>
      <c r="AJ127" t="s">
        <v>711</v>
      </c>
      <c r="AO127" t="s">
        <v>72</v>
      </c>
      <c r="AQ127" t="s">
        <v>470</v>
      </c>
    </row>
    <row r="128" spans="34:43" x14ac:dyDescent="0.25">
      <c r="AH128" t="s">
        <v>591</v>
      </c>
      <c r="AI128" t="s">
        <v>592</v>
      </c>
      <c r="AJ128" t="s">
        <v>712</v>
      </c>
      <c r="AO128" t="s">
        <v>73</v>
      </c>
      <c r="AQ128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Murchison</dc:creator>
  <cp:lastModifiedBy>Chad Murchison</cp:lastModifiedBy>
  <dcterms:created xsi:type="dcterms:W3CDTF">2022-04-19T15:41:21Z</dcterms:created>
  <dcterms:modified xsi:type="dcterms:W3CDTF">2022-04-19T21:26:05Z</dcterms:modified>
</cp:coreProperties>
</file>